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QA\Manual Testing Project\"/>
    </mc:Choice>
  </mc:AlternateContent>
  <xr:revisionPtr revIDLastSave="0" documentId="13_ncr:1_{025188D4-116F-45FD-8150-336940D4ED1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est Plan" sheetId="1" r:id="rId1"/>
    <sheet name="Mind Map" sheetId="2" r:id="rId2"/>
    <sheet name="Test Scenarios" sheetId="3" r:id="rId3"/>
    <sheet name="Biman Bangladesh Airlines Test " sheetId="4" r:id="rId4"/>
    <sheet name="Bug Report" sheetId="5" r:id="rId5"/>
    <sheet name="Test Case Summery Report" sheetId="6" r:id="rId6"/>
    <sheet name="Test Metr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6" l="1"/>
  <c r="D10" i="6"/>
  <c r="K6" i="4"/>
  <c r="D12" i="6" s="1"/>
  <c r="K5" i="4"/>
  <c r="K4" i="4"/>
  <c r="K3" i="4"/>
  <c r="D9" i="6" s="1"/>
  <c r="K2" i="4"/>
  <c r="D8" i="6" s="1"/>
  <c r="G1" i="4"/>
</calcChain>
</file>

<file path=xl/sharedStrings.xml><?xml version="1.0" encoding="utf-8"?>
<sst xmlns="http://schemas.openxmlformats.org/spreadsheetml/2006/main" count="742" uniqueCount="521">
  <si>
    <t>SL</t>
  </si>
  <si>
    <t>Product Name</t>
  </si>
  <si>
    <t>Click here to view the full test plan</t>
  </si>
  <si>
    <t>Module</t>
  </si>
  <si>
    <t>Test Scenario</t>
  </si>
  <si>
    <t>biman-airlines.com</t>
  </si>
  <si>
    <t>TS-01</t>
  </si>
  <si>
    <t>Home Page</t>
  </si>
  <si>
    <t>Verify homepage layout, navigation, links, images and accessibility.</t>
  </si>
  <si>
    <t>TS-02</t>
  </si>
  <si>
    <t>Flight Booking</t>
  </si>
  <si>
    <t>Verify flight booking form and trip type selection.</t>
  </si>
  <si>
    <t>TS-03</t>
  </si>
  <si>
    <t>Flight Search</t>
  </si>
  <si>
    <t>Verify origin, destination, date and search validation.</t>
  </si>
  <si>
    <t>TS-04</t>
  </si>
  <si>
    <t>Passenger</t>
  </si>
  <si>
    <t>Verify passenger selection, limits and validation.</t>
  </si>
  <si>
    <t>TS-05</t>
  </si>
  <si>
    <t>Multi-City</t>
  </si>
  <si>
    <t>Verify Multi-City segment and route validation.</t>
  </si>
  <si>
    <t>TS-06</t>
  </si>
  <si>
    <t>Flight Results</t>
  </si>
  <si>
    <t>Verify flight availability, fare, duration and flight details.</t>
  </si>
  <si>
    <t>TS-07</t>
  </si>
  <si>
    <t>Promo Code</t>
  </si>
  <si>
    <t>Verify valid and invalid promo code handling.</t>
  </si>
  <si>
    <t>TS-08</t>
  </si>
  <si>
    <t>FAQ</t>
  </si>
  <si>
    <t>Verify FAQ page and search functionality.</t>
  </si>
  <si>
    <t>TS-09</t>
  </si>
  <si>
    <t>Office Search</t>
  </si>
  <si>
    <t>Verify office search with valid and invalid locations.</t>
  </si>
  <si>
    <t>TS-10</t>
  </si>
  <si>
    <t>Responsive &amp; Compatibility</t>
  </si>
  <si>
    <t>Verify website functionality across devices and browsers.</t>
  </si>
  <si>
    <t>TC Start Date</t>
  </si>
  <si>
    <t>TC Execution Start Date</t>
  </si>
  <si>
    <t>TEST CASE</t>
  </si>
  <si>
    <t>Module Name</t>
  </si>
  <si>
    <t>Registration</t>
  </si>
  <si>
    <t>TC End Date</t>
  </si>
  <si>
    <t>TC Execution End Date</t>
  </si>
  <si>
    <t xml:space="preserve"> - -</t>
  </si>
  <si>
    <t>PASS</t>
  </si>
  <si>
    <t>Epic</t>
  </si>
  <si>
    <t>Test Case Developed By</t>
  </si>
  <si>
    <t>Mahmuda Binte Sayeed</t>
  </si>
  <si>
    <t>Browser (tested)</t>
  </si>
  <si>
    <t>Yes</t>
  </si>
  <si>
    <t>FAIL</t>
  </si>
  <si>
    <t>Developer Name (TL)</t>
  </si>
  <si>
    <t>Test Case Reviewed By</t>
  </si>
  <si>
    <t>Sabiul Islam Rashed</t>
  </si>
  <si>
    <t>Performance (tested)</t>
  </si>
  <si>
    <t>No</t>
  </si>
  <si>
    <t>NO RUN</t>
  </si>
  <si>
    <t>Test Executed by</t>
  </si>
  <si>
    <t>Bug Reporting</t>
  </si>
  <si>
    <t>BLOCKED</t>
  </si>
  <si>
    <t># SL 1</t>
  </si>
  <si>
    <t>TOTAL</t>
  </si>
  <si>
    <t>Issue:  Homepage there is scroll bar in horizontal in mobile screen</t>
  </si>
  <si>
    <t>Reproducing Steps:</t>
  </si>
  <si>
    <t>Type of Testing</t>
  </si>
  <si>
    <t>Features</t>
  </si>
  <si>
    <t>Test Cases</t>
  </si>
  <si>
    <t>Reproducing Steps</t>
  </si>
  <si>
    <t>Test Data</t>
  </si>
  <si>
    <t>Expected Result</t>
  </si>
  <si>
    <t>Actual Result</t>
  </si>
  <si>
    <t>1. Open website on mobile view 
2. Check layout</t>
  </si>
  <si>
    <t>Bugs Screen Shot/Recording</t>
  </si>
  <si>
    <t>Dev Comments</t>
  </si>
  <si>
    <t>Final Status</t>
  </si>
  <si>
    <t>Test Case Report</t>
  </si>
  <si>
    <t>#SL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</si>
  <si>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</si>
  <si>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TC-1</t>
  </si>
  <si>
    <t>Metrics</t>
  </si>
  <si>
    <t>Module: Home Page</t>
  </si>
  <si>
    <t>Positive</t>
  </si>
  <si>
    <t>Page Loading</t>
  </si>
  <si>
    <t>Verify that the Biman homepage loads successfully.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</si>
  <si>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</si>
  <si>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t>1. Open Biman website 
2. Observe homepage</t>
  </si>
  <si>
    <t>Description</t>
  </si>
  <si>
    <t>Homepage should load without any critical error.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</si>
  <si>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</si>
  <si>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Result (%)</t>
  </si>
  <si>
    <t>Home page loads successfully</t>
  </si>
  <si>
    <t>Screenshot:</t>
  </si>
  <si>
    <t>Passed</t>
  </si>
  <si>
    <t>Percentage of Test Cases Executed</t>
  </si>
  <si>
    <t>Expected: Homepage should be responsive and usable on mobile.</t>
  </si>
  <si>
    <t>TC-2</t>
  </si>
  <si>
    <t>Homepage Layout</t>
  </si>
  <si>
    <t>Verify that the homepage layout is displayed correctly.</t>
  </si>
  <si>
    <t>(No. of Test Cases Executed / Total no. of Test Cases Written) * 100</t>
  </si>
  <si>
    <t>1. Open homepage 
2. Check layout</t>
  </si>
  <si>
    <t>All major sections should be properly aligned and visible.</t>
  </si>
  <si>
    <t>All section aligned properly and looks ok</t>
  </si>
  <si>
    <t>Actual: Homepage there is scroll bar in horizontal</t>
  </si>
  <si>
    <t xml:space="preserve">   Project Name   </t>
  </si>
  <si>
    <t>(61/61)*100 = 100</t>
  </si>
  <si>
    <t>TC-3</t>
  </si>
  <si>
    <t>Responsible QA: Mahmuda</t>
  </si>
  <si>
    <t>Logo</t>
  </si>
  <si>
    <t>Verify that the Biman logo is displayed correctly.</t>
  </si>
  <si>
    <t>1. Open homepage 
2. Check logo</t>
  </si>
  <si>
    <t>Biman logo should be visible and properly loaded.</t>
  </si>
  <si>
    <t>Biman Logo loaded without broken image</t>
  </si>
  <si>
    <t>Percentage of Test Cases Not Executed</t>
  </si>
  <si>
    <t>(No. of Test Cases not Executed / Total no. of Test Cases Written) * 100</t>
  </si>
  <si>
    <t>(0/61)*100 = 0</t>
  </si>
  <si>
    <t>TC-4</t>
  </si>
  <si>
    <t>Percentage of Test Cases Passed</t>
  </si>
  <si>
    <t>Logo Navigation</t>
  </si>
  <si>
    <t>(No. of Test Cases Passed / Total no. of Test Cases Executed) * 100</t>
  </si>
  <si>
    <t>Verify that clicking the Biman logo navigates to the homepage.</t>
  </si>
  <si>
    <t>(59/61)*100 = 96.72%</t>
  </si>
  <si>
    <t>1. Open any page 
2. Click Biman logo</t>
  </si>
  <si>
    <t>User should be redirected to the homepage.</t>
  </si>
  <si>
    <t>Clicking logo it redirects to home page</t>
  </si>
  <si>
    <t>Percentage of Test Cases Failed</t>
  </si>
  <si>
    <t>(No. of Test Cases Failed / Total no. of Test Cases Executed) * 100</t>
  </si>
  <si>
    <t>(2/61)*100 = 3.27%</t>
  </si>
  <si>
    <t>TC-5</t>
  </si>
  <si>
    <t>Percentage of Test Cases Blocked</t>
  </si>
  <si>
    <t># SL 2</t>
  </si>
  <si>
    <t>(No. of Test Cases Blocked / Total no. of Test Cases Executed) * 100</t>
  </si>
  <si>
    <t>Navigation Menu</t>
  </si>
  <si>
    <t>Verify that the main navigation menu is displayed correctly.</t>
  </si>
  <si>
    <t>1. Open homepage 
2. Check navigation menu</t>
  </si>
  <si>
    <t>All available menu options should be visible and usable.</t>
  </si>
  <si>
    <t>All menu visible correctly and work fine</t>
  </si>
  <si>
    <t>Defect Density</t>
  </si>
  <si>
    <t>No. of Defects found / Size (No. of Requirements)</t>
  </si>
  <si>
    <t>N/A</t>
  </si>
  <si>
    <t>TC-6</t>
  </si>
  <si>
    <t>Defect Removal Efficiency (DRE)</t>
  </si>
  <si>
    <t>(Fixed Defects / (Fixed Defects + Missed Defects)) * 100</t>
  </si>
  <si>
    <t>Book Flight Menu</t>
  </si>
  <si>
    <t>Verify that the Book Flight menu opens the flight booking section.</t>
  </si>
  <si>
    <t>1. Click Book Flight</t>
  </si>
  <si>
    <t>Issue:  System does not show any message if invalid code enter</t>
  </si>
  <si>
    <t>Book Flight section should open successfully.</t>
  </si>
  <si>
    <t>Defect Leakage</t>
  </si>
  <si>
    <t>Book flight menu scroll book flight section correctly</t>
  </si>
  <si>
    <t>(No. of Defects found in UAT/ No. of Defects found in Testing) * 100</t>
  </si>
  <si>
    <t>Defect Rejection Ratio</t>
  </si>
  <si>
    <t>(No. of Defects Rejected/ Total no. of Defects Raised) * 100</t>
  </si>
  <si>
    <t>Written By</t>
  </si>
  <si>
    <t>TC-7</t>
  </si>
  <si>
    <t>Defect Age</t>
  </si>
  <si>
    <t>Fixed date - Reported date</t>
  </si>
  <si>
    <t>1. Enter invalid promo code 
2. Search</t>
  </si>
  <si>
    <t>Manage My Trip</t>
  </si>
  <si>
    <t>Verify that Manage My Trip can be accessed from the homepage.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</si>
  <si>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</si>
  <si>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1. Click Manage My Trip</t>
  </si>
  <si>
    <t>Customer Satisfaction</t>
  </si>
  <si>
    <t>Manage My Trip section should open successfully.</t>
  </si>
  <si>
    <t>No. of complaints per Period of Time</t>
  </si>
  <si>
    <t>Module: Flight Booking</t>
  </si>
  <si>
    <t>Manage my trip open if a flight book before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</si>
  <si>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</si>
  <si>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Reviewed By</t>
  </si>
  <si>
    <t>TC-8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</si>
  <si>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</si>
  <si>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Flight Status</t>
  </si>
  <si>
    <t>Verify that Flight Status can be accessed from the homepage.</t>
  </si>
  <si>
    <t>1. Click Flight Status</t>
  </si>
  <si>
    <t>Expected: System should show an appropriate validation message if invalid promo code enter</t>
  </si>
  <si>
    <t>Flight Status section should open successfully.</t>
  </si>
  <si>
    <t xml:space="preserve">Flight status can access </t>
  </si>
  <si>
    <t>Actual: System does not show any message if invalid code enter</t>
  </si>
  <si>
    <t>TEST EXECUTION REPORT</t>
  </si>
  <si>
    <t>TC-9</t>
  </si>
  <si>
    <t>Flight Schedule</t>
  </si>
  <si>
    <t>Verify that Flight Schedule can be accessed from the homepage.</t>
  </si>
  <si>
    <t>1. Click Flight Schedule</t>
  </si>
  <si>
    <t>Flight Schedule section should open successfully.</t>
  </si>
  <si>
    <t>Flight schedule section open</t>
  </si>
  <si>
    <t>TC-10</t>
  </si>
  <si>
    <t>Web Check-in</t>
  </si>
  <si>
    <t>Verify that Web Check-in can be accessed from the homepage.</t>
  </si>
  <si>
    <t>1. Click Web Check-in</t>
  </si>
  <si>
    <t>Web Check-in section should open successfully.</t>
  </si>
  <si>
    <t>Web check in open</t>
  </si>
  <si>
    <t>TC-11</t>
  </si>
  <si>
    <t>Travel Updates</t>
  </si>
  <si>
    <t>Verify that travel updates are displayed on the homepage.</t>
  </si>
  <si>
    <t>1. Open homepage 
2. Scroll to Travel Updates</t>
  </si>
  <si>
    <t>Available travel updates should be displayed correctly.</t>
  </si>
  <si>
    <t>Travel update display correctly</t>
  </si>
  <si>
    <t>TC-12</t>
  </si>
  <si>
    <t>Popular Destinations</t>
  </si>
  <si>
    <t>Verify that popular destinations are displayed correctly.</t>
  </si>
  <si>
    <t>1. Open homepage 
2. Scroll to destinations</t>
  </si>
  <si>
    <t>Popular destination cards should be visible and correct.</t>
  </si>
  <si>
    <t>Popular destination shows correctly</t>
  </si>
  <si>
    <t>TC-13</t>
  </si>
  <si>
    <t>Footer</t>
  </si>
  <si>
    <t>Verify that the footer is displayed correctly.</t>
  </si>
  <si>
    <t>1. Scroll to bottom of homepage</t>
  </si>
  <si>
    <t>Footer should contain available links and contact information.</t>
  </si>
  <si>
    <t>Footer contains available links and contact info</t>
  </si>
  <si>
    <t>TC-14</t>
  </si>
  <si>
    <t>Negative</t>
  </si>
  <si>
    <t>Broken Link</t>
  </si>
  <si>
    <t>Verify that homepage links do not lead to broken pages.</t>
  </si>
  <si>
    <t>1. Open homepage 
2. Test available links</t>
  </si>
  <si>
    <t>All links should navigate to valid pages.</t>
  </si>
  <si>
    <t>All links navigate to valid pages</t>
  </si>
  <si>
    <t>TC-15</t>
  </si>
  <si>
    <t>Broken Image</t>
  </si>
  <si>
    <t>Verify that homepage images are loaded correctly.</t>
  </si>
  <si>
    <t>1. Open homepage 
2. Check images</t>
  </si>
  <si>
    <t>No broken images should be displayed.</t>
  </si>
  <si>
    <t>Home page images loads correctly</t>
  </si>
  <si>
    <t>TC-16</t>
  </si>
  <si>
    <t>Responsive Design</t>
  </si>
  <si>
    <t>Verify that the homepage works correctly on mobile devices.</t>
  </si>
  <si>
    <t>Mobile</t>
  </si>
  <si>
    <t>Homepage should be responsive and usable on mobile.</t>
  </si>
  <si>
    <t>Homepage there is scroll bar in horizontal</t>
  </si>
  <si>
    <t>Failed</t>
  </si>
  <si>
    <t>TC-17</t>
  </si>
  <si>
    <t>Browser Compatibility</t>
  </si>
  <si>
    <t>Verify that the homepage works in supported browsers.</t>
  </si>
  <si>
    <t>1. Open website in different browsers 2. Check homepage</t>
  </si>
  <si>
    <t>Chrome/Firefox/Edge</t>
  </si>
  <si>
    <t>Homepage should work correctly in supported browsers.</t>
  </si>
  <si>
    <t>Home page works different browser</t>
  </si>
  <si>
    <t>TC-18</t>
  </si>
  <si>
    <t>Booking Form</t>
  </si>
  <si>
    <t>Verify that the flight booking form is displayed correctly.</t>
  </si>
  <si>
    <t>1. Open Book Flight 
2. Check form</t>
  </si>
  <si>
    <t>Booking form should display all required fields.</t>
  </si>
  <si>
    <t>Booking section display all required field</t>
  </si>
  <si>
    <t>TC-19</t>
  </si>
  <si>
    <t>One Way</t>
  </si>
  <si>
    <t>Verify that One Way trip can be selected.</t>
  </si>
  <si>
    <t>1. Open booking form 
2. Select One Way</t>
  </si>
  <si>
    <t>One Way option should be selected successfully.</t>
  </si>
  <si>
    <t>One way option select work</t>
  </si>
  <si>
    <t>TC-20</t>
  </si>
  <si>
    <t>Round Trip</t>
  </si>
  <si>
    <t>Verify that Round Trip can be selected.</t>
  </si>
  <si>
    <t>1. Open booking form 
2. Select Round Trip</t>
  </si>
  <si>
    <t>Round Trip option should be selected successfully.</t>
  </si>
  <si>
    <t>Round trip select work</t>
  </si>
  <si>
    <t>TC-21</t>
  </si>
  <si>
    <t>Verify that Multi-City can be selected.</t>
  </si>
  <si>
    <t>1. Open booking form 
2. Select Multi-City</t>
  </si>
  <si>
    <t>Multi-City option should be selected successfully.</t>
  </si>
  <si>
    <t>Multi city option select work</t>
  </si>
  <si>
    <t>TC-22</t>
  </si>
  <si>
    <t>Origin</t>
  </si>
  <si>
    <t>Verify that a departure airport can be selected.</t>
  </si>
  <si>
    <t>1. Open booking form 
2. Select departure airport</t>
  </si>
  <si>
    <t>Dhaka</t>
  </si>
  <si>
    <t>Selected departure airport should be displayed correctly.</t>
  </si>
  <si>
    <t>Departure airport select and displayed correctly</t>
  </si>
  <si>
    <t>TC-23</t>
  </si>
  <si>
    <t>Destination</t>
  </si>
  <si>
    <t>Verify that an arrival airport can be selected.</t>
  </si>
  <si>
    <t>1. Select departure 
2. Select arrival</t>
  </si>
  <si>
    <t>Dhaka to Dubai</t>
  </si>
  <si>
    <t>Selected arrival airport should be displayed correctly.</t>
  </si>
  <si>
    <t>Arrival airport select and displayed correctly</t>
  </si>
  <si>
    <t>TC-24</t>
  </si>
  <si>
    <t>Empty Origin</t>
  </si>
  <si>
    <t>Verify that flight search cannot be performed without selecting departure location.</t>
  </si>
  <si>
    <t>1. Leave departure empty 
2. Select destination 
3. Search</t>
  </si>
  <si>
    <t>Empty</t>
  </si>
  <si>
    <t>System should show a validation message.</t>
  </si>
  <si>
    <t>Yes system shows validation message if departure don't select</t>
  </si>
  <si>
    <t>TC-25</t>
  </si>
  <si>
    <t>Empty Destination</t>
  </si>
  <si>
    <t>Verify that flight search cannot be performed without selecting arrival location.</t>
  </si>
  <si>
    <t>1. Select arrival
2. Leave destination empty 
3. Search</t>
  </si>
  <si>
    <t>Yes system shows validation message if arrival don't select</t>
  </si>
  <si>
    <t>TC-26</t>
  </si>
  <si>
    <t>Same Location</t>
  </si>
  <si>
    <t>Verify that the same airport cannot be selected as departure and arrival.</t>
  </si>
  <si>
    <t>1. Try to Select same location in both fields 
2. Search</t>
  </si>
  <si>
    <t>Dhaka to Dhaka</t>
  </si>
  <si>
    <t>System should prevent the invalid route or show an error.</t>
  </si>
  <si>
    <t>System prevent to select same location. which select departure it doesn't show arrival</t>
  </si>
  <si>
    <t>TC-27</t>
  </si>
  <si>
    <t>Departure Date</t>
  </si>
  <si>
    <t>Verify that a valid future departure date can be selected.</t>
  </si>
  <si>
    <t>1. Open date picker 
2. Select future date</t>
  </si>
  <si>
    <t>Future date</t>
  </si>
  <si>
    <t>Selected date should be displayed correctly.</t>
  </si>
  <si>
    <t>System dosen't allow to select previous date. those are disable</t>
  </si>
  <si>
    <t>TC-28</t>
  </si>
  <si>
    <t>Past Departure Date</t>
  </si>
  <si>
    <t>Verify that a past departure date cannot be selected.</t>
  </si>
  <si>
    <t>1. Open date picker 
2. Select past date</t>
  </si>
  <si>
    <t>Past date</t>
  </si>
  <si>
    <t>System should prevent past date selection.</t>
  </si>
  <si>
    <t>TC-29</t>
  </si>
  <si>
    <t>Return Date</t>
  </si>
  <si>
    <t>Verify that a valid return date can be selected for Round Trip.</t>
  </si>
  <si>
    <t>1. Select Round Trip 
2. Select departure 
3. Select return</t>
  </si>
  <si>
    <t>Future return date</t>
  </si>
  <si>
    <t>Return date should be displayed correctly.</t>
  </si>
  <si>
    <t>TC-30</t>
  </si>
  <si>
    <t>Return Before Departure</t>
  </si>
  <si>
    <t>Verify that return date cannot be earlier than departure date.</t>
  </si>
  <si>
    <t>1. Select departure date 
2. Select earlier return date</t>
  </si>
  <si>
    <t>Invalid return date</t>
  </si>
  <si>
    <t>System should prevent invalid date selection.</t>
  </si>
  <si>
    <t>TC-31</t>
  </si>
  <si>
    <t>Adult Passenger</t>
  </si>
  <si>
    <t>Verify that adult passenger count can be increased.</t>
  </si>
  <si>
    <t>1. Open passenger selector 
2. Increase adult count</t>
  </si>
  <si>
    <t>2 Adults</t>
  </si>
  <si>
    <t>Adult count should increase correctly.</t>
  </si>
  <si>
    <t>Adult count can increase</t>
  </si>
  <si>
    <t>TC-32</t>
  </si>
  <si>
    <t>Child Passenger</t>
  </si>
  <si>
    <t>Verify that child passenger count can be selected.</t>
  </si>
  <si>
    <t>1. Open passenger selector 
2. Add child</t>
  </si>
  <si>
    <t>2 Children</t>
  </si>
  <si>
    <t>Child count should update correctly.</t>
  </si>
  <si>
    <t>Child count can increase</t>
  </si>
  <si>
    <t>TC-33</t>
  </si>
  <si>
    <t>Infant Passenger</t>
  </si>
  <si>
    <t>Verify that infant passenger count can be selected.</t>
  </si>
  <si>
    <t>1. Open passenger selector 
2. Add infant</t>
  </si>
  <si>
    <t>3 Infant</t>
  </si>
  <si>
    <t>Infant count should update correctly.</t>
  </si>
  <si>
    <t>Infant count can increase</t>
  </si>
  <si>
    <t>TC-34</t>
  </si>
  <si>
    <t>Passenger Limit</t>
  </si>
  <si>
    <t>Verify that passenger count cannot exceed the allowed limit.</t>
  </si>
  <si>
    <t>1. Increase passenger count above allowed limit 
2. Observe result</t>
  </si>
  <si>
    <t>9 passengers</t>
  </si>
  <si>
    <t>System should prevent more than the allowed passengers.</t>
  </si>
  <si>
    <t>System has limitation for passanger</t>
  </si>
  <si>
    <t>TC-35</t>
  </si>
  <si>
    <t>Infant Limit</t>
  </si>
  <si>
    <t>Verify that more than the allowed number of infants cannot be booked.</t>
  </si>
  <si>
    <t>1. Add infants beyond allowed limit 
2. Observe result</t>
  </si>
  <si>
    <t>1infants</t>
  </si>
  <si>
    <t>System should prevent invalid infant count.</t>
  </si>
  <si>
    <t>System has limitation for infant passanger</t>
  </si>
  <si>
    <t>TC-36</t>
  </si>
  <si>
    <t>Infant Without Adult</t>
  </si>
  <si>
    <t>Verify that an infant cannot be booked without an adult.</t>
  </si>
  <si>
    <t>1. Set infant count to 1
2. Try to add adult 0</t>
  </si>
  <si>
    <t>1 Infant, 0 Adult</t>
  </si>
  <si>
    <t>System should prevent invalid passenger combination.</t>
  </si>
  <si>
    <t>Yes system prevent combination of infant without adult</t>
  </si>
  <si>
    <t>TC-37</t>
  </si>
  <si>
    <t>Cabin Class</t>
  </si>
  <si>
    <t>Verify that an available cabin class can be selected.</t>
  </si>
  <si>
    <t>1. Open class selector 
2. Select Economy</t>
  </si>
  <si>
    <t>Economy</t>
  </si>
  <si>
    <t>Selected cabin class should be displayed correctly.</t>
  </si>
  <si>
    <t>Cabin class can select</t>
  </si>
  <si>
    <t>TC-38</t>
  </si>
  <si>
    <t>Verify that a valid promo code can be entered.</t>
  </si>
  <si>
    <t>1. Enter promo code 
2. Search</t>
  </si>
  <si>
    <t>BGWEB2026</t>
  </si>
  <si>
    <t>Valid promo code should be accepted.</t>
  </si>
  <si>
    <t>Promocode can enter</t>
  </si>
  <si>
    <t>TC-39</t>
  </si>
  <si>
    <t>Invalid Promo Code</t>
  </si>
  <si>
    <t>Verify that an invalid promo code is rejected.</t>
  </si>
  <si>
    <t>INVALID123</t>
  </si>
  <si>
    <t>System should show an appropriate validation message.</t>
  </si>
  <si>
    <t>System does not show any message if invalid code enter</t>
  </si>
  <si>
    <t>TC-40</t>
  </si>
  <si>
    <t>Empty Booking Search</t>
  </si>
  <si>
    <t>Verify that search cannot be performed without required booking information.</t>
  </si>
  <si>
    <t>1. Leave required fields empty 
2. Click Search</t>
  </si>
  <si>
    <t>Empty fields</t>
  </si>
  <si>
    <t>System should display validation messages.</t>
  </si>
  <si>
    <t>Yes system gives validation message if any field blank</t>
  </si>
  <si>
    <t>TC-41</t>
  </si>
  <si>
    <t>Verify that available flights are displayed for valid search criteria.</t>
  </si>
  <si>
    <t>1. Enter valid route/date 
2. Click Search</t>
  </si>
  <si>
    <t>Matching flights should be displayed.</t>
  </si>
  <si>
    <t>Yes matching flight display</t>
  </si>
  <si>
    <t>TC-42</t>
  </si>
  <si>
    <t>No Flight</t>
  </si>
  <si>
    <t>Verify that an appropriate message is displayed when no flight is available.</t>
  </si>
  <si>
    <t>1. Search unavailable route/date</t>
  </si>
  <si>
    <t>Unavailable route/date</t>
  </si>
  <si>
    <t>No-flight message should be displayed.</t>
  </si>
  <si>
    <t>System shows modify date message</t>
  </si>
  <si>
    <t>TC-43</t>
  </si>
  <si>
    <t>Fare Display</t>
  </si>
  <si>
    <t>Verify that available flight fares are displayed correctly.</t>
  </si>
  <si>
    <t>1. Search flight 
2. Check fares</t>
  </si>
  <si>
    <t>Available flight</t>
  </si>
  <si>
    <t>Correct fares should be displayed.</t>
  </si>
  <si>
    <t>Correct fare display correctly</t>
  </si>
  <si>
    <t>TC-44</t>
  </si>
  <si>
    <t>Flight Selection</t>
  </si>
  <si>
    <t>Verify that a user can select an available flight.</t>
  </si>
  <si>
    <t>1. Search flights 
2. Select flight</t>
  </si>
  <si>
    <t>Selected flight should be accepted for booking.</t>
  </si>
  <si>
    <t>Yes available flight can select</t>
  </si>
  <si>
    <t>TC-45</t>
  </si>
  <si>
    <t>Flight Details</t>
  </si>
  <si>
    <t>Verify that selected flight details are displayed correctly.</t>
  </si>
  <si>
    <t>1. Select flight 
2. Review details</t>
  </si>
  <si>
    <t>Selected flight</t>
  </si>
  <si>
    <t>Flight number, route, date and time should be correct.</t>
  </si>
  <si>
    <t>All flight info shows correctly</t>
  </si>
  <si>
    <t>TC-46</t>
  </si>
  <si>
    <t>Multiple Search Click</t>
  </si>
  <si>
    <t>Verify that repeatedly clicking Search does not create duplicate requests.</t>
  </si>
  <si>
    <t>1. Enter valid data 
2. Rapidly click Search</t>
  </si>
  <si>
    <t>Rapid clicks</t>
  </si>
  <si>
    <t>System should handle repeated clicks safely.</t>
  </si>
  <si>
    <t>It does not create duplicate request if repeatedly clicking</t>
  </si>
  <si>
    <t>TC-47</t>
  </si>
  <si>
    <t>Multi-City Segment</t>
  </si>
  <si>
    <t>Verify that an additional flight segment can be added in Multi-City booking.</t>
  </si>
  <si>
    <t>1. Select Multi-City 
2. Click Add Flight 
3. Enter route</t>
  </si>
  <si>
    <t>Dhaka-Dubai-London</t>
  </si>
  <si>
    <t>New flight segment should be added successfully.</t>
  </si>
  <si>
    <t>New flight segment can add in multi city booking</t>
  </si>
  <si>
    <t>TC-48</t>
  </si>
  <si>
    <t>Invalid Multi-City Route</t>
  </si>
  <si>
    <t>Verify that invalid Multi-City route combinations are rejected.</t>
  </si>
  <si>
    <t>1. Select Multi-City 
2. Try to Enter invalid segments</t>
  </si>
  <si>
    <t>Invalid route</t>
  </si>
  <si>
    <t>System should prevent invalid route combinations.</t>
  </si>
  <si>
    <t>Yes . can't select same route in departing and arriving</t>
  </si>
  <si>
    <t>TC-49</t>
  </si>
  <si>
    <t>Passenger Summary</t>
  </si>
  <si>
    <t>Verify that selected passenger counts are displayed correctly.</t>
  </si>
  <si>
    <t>1. Select passengers 
2. Close selector 
3. Check summary</t>
  </si>
  <si>
    <t>2 Adults 1 Child</t>
  </si>
  <si>
    <t>Passenger summary should match selected counts.</t>
  </si>
  <si>
    <t>Passenger summary match with counts</t>
  </si>
  <si>
    <t>TC-50</t>
  </si>
  <si>
    <t>Invalid Passenger Data</t>
  </si>
  <si>
    <t>Verify that invalid passenger combinations cannot proceed to flight search.</t>
  </si>
  <si>
    <t>1. Enter invalid passenger combination 2. Search</t>
  </si>
  <si>
    <t>1 infant 0 adult</t>
  </si>
  <si>
    <t>System should show appropriate validation.</t>
  </si>
  <si>
    <t>System prevent to select invalid passenger combination</t>
  </si>
  <si>
    <t>TC-51</t>
  </si>
  <si>
    <t>Flight Duration</t>
  </si>
  <si>
    <t>Verify that flight duration is displayed correctly in search results.</t>
  </si>
  <si>
    <t>1. Search flight 
2. Check duration</t>
  </si>
  <si>
    <t>Correct duration should be displayed.</t>
  </si>
  <si>
    <t>Duration shows correctly</t>
  </si>
  <si>
    <t>TC-52</t>
  </si>
  <si>
    <t>Departure Time</t>
  </si>
  <si>
    <t>Verify that departure time is displayed correctly.</t>
  </si>
  <si>
    <t>1. Search flight 
2. Check departure time</t>
  </si>
  <si>
    <t>Correct departure time should be displayed.</t>
  </si>
  <si>
    <t>Correct departure time shows</t>
  </si>
  <si>
    <t>TC-53</t>
  </si>
  <si>
    <t>Arrival Time</t>
  </si>
  <si>
    <t>Verify that arrival time is displayed correctly.</t>
  </si>
  <si>
    <t>1. Search flight 
2. Check arrival time</t>
  </si>
  <si>
    <t>Correct arrival time should be displayed.</t>
  </si>
  <si>
    <t>Correct arrival time displays</t>
  </si>
  <si>
    <t>TC-54</t>
  </si>
  <si>
    <t>Incorrect Fare</t>
  </si>
  <si>
    <t>Verify that incorrect fare is not displayed during booking.</t>
  </si>
  <si>
    <t>1. Search flight 
2. Compare fare at each step</t>
  </si>
  <si>
    <t>Selected fare</t>
  </si>
  <si>
    <t>Fare should match the applicable booking price.</t>
  </si>
  <si>
    <t>Fare match applicable booking price</t>
  </si>
  <si>
    <t>TC-55</t>
  </si>
  <si>
    <t>FAQ Page</t>
  </si>
  <si>
    <t>Verify that the FAQ page loads successfully.</t>
  </si>
  <si>
    <t>1. Open FAQ page</t>
  </si>
  <si>
    <t>FAQ page should load correctly.</t>
  </si>
  <si>
    <t>FAQ page loads successfully</t>
  </si>
  <si>
    <t>TC-56</t>
  </si>
  <si>
    <t>FAQ Search</t>
  </si>
  <si>
    <t>Verify that FAQ search returns relevant results for a valid keyword.</t>
  </si>
  <si>
    <t>1. Open FAQ 
2. Enter Refund 
3. Search</t>
  </si>
  <si>
    <t>Refund</t>
  </si>
  <si>
    <t>Relevant FAQ results should be displayed.</t>
  </si>
  <si>
    <t>Result shows correctly after search in FAQ</t>
  </si>
  <si>
    <t>TC-57</t>
  </si>
  <si>
    <t>Empty FAQ Search</t>
  </si>
  <si>
    <t>Verify that empty FAQ search is handled correctly.</t>
  </si>
  <si>
    <t>1. Open FAQ 
2. Leave search empty 
3. Search</t>
  </si>
  <si>
    <t>System should show default FAQs or appropriate response.</t>
  </si>
  <si>
    <t>System shows default FAQ if blank search</t>
  </si>
  <si>
    <t>TC-58</t>
  </si>
  <si>
    <t>Invalid FAQ Keyword</t>
  </si>
  <si>
    <t>Verify that FAQ search handles a keyword with no matching result.</t>
  </si>
  <si>
    <t>1. Search invalid keyword 
2. Check result</t>
  </si>
  <si>
    <t>XYZ123</t>
  </si>
  <si>
    <t>No-result message should be displayed.</t>
  </si>
  <si>
    <t>Yes system shows correct message if search invalid word</t>
  </si>
  <si>
    <t>TC-59</t>
  </si>
  <si>
    <t>Contact Us</t>
  </si>
  <si>
    <t>Verify that Biman office search works with a valid location.</t>
  </si>
  <si>
    <t>1. Open office search 
2. Enter Dhaka 
3. Search</t>
  </si>
  <si>
    <t>Relevant office information should be displayed.</t>
  </si>
  <si>
    <t>Office location shows correctly</t>
  </si>
  <si>
    <t>TC-60</t>
  </si>
  <si>
    <t>Invalid Office Search</t>
  </si>
  <si>
    <t>Verify that office search handles invalid location correctly.</t>
  </si>
  <si>
    <t>1. Enter invalid location 
2. Search</t>
  </si>
  <si>
    <t>No-result or appropriate message should be displayed.</t>
  </si>
  <si>
    <t>It shows no matching data found</t>
  </si>
  <si>
    <t>TC-61</t>
  </si>
  <si>
    <t>Accessibility</t>
  </si>
  <si>
    <t>Mobile Responsiveness</t>
  </si>
  <si>
    <t>Verify that important website functions remain usable on mobile screens.</t>
  </si>
  <si>
    <t>1. Open website on mobile view 
2. Test major functions</t>
  </si>
  <si>
    <t>Booking, Manage Booking, Flight Status and other major functions should remain usable on mobile.</t>
  </si>
  <si>
    <t>All works fine in mobile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</si>
</sst>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8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u/>
      <sz val="11"/>
      <color rgb="FF0000FF"/>
      <name val="Calibri"/>
    </font>
    <font>
      <b/>
      <u/>
      <sz val="18"/>
      <color rgb="FF0000FF"/>
      <name val="Arial"/>
    </font>
    <font>
      <sz val="11"/>
      <color theme="1"/>
      <name val="Calibri"/>
    </font>
    <font>
      <b/>
      <sz val="10"/>
      <color theme="1"/>
      <name val="Verdana"/>
    </font>
    <font>
      <sz val="14"/>
      <color theme="1"/>
      <name val="Calibri"/>
    </font>
    <font>
      <b/>
      <sz val="10"/>
      <color theme="0"/>
      <name val="Verdana"/>
    </font>
    <font>
      <sz val="10"/>
      <color theme="1"/>
      <name val="Verdana"/>
    </font>
    <font>
      <sz val="10"/>
      <color theme="1"/>
      <name val="Calibri"/>
    </font>
    <font>
      <b/>
      <sz val="10"/>
      <color rgb="FFFFFFFF"/>
      <name val="Verdana"/>
    </font>
    <font>
      <b/>
      <sz val="20"/>
      <color theme="1"/>
      <name val="Calibri"/>
    </font>
    <font>
      <b/>
      <sz val="12"/>
      <color theme="1"/>
      <name val="Calibri"/>
    </font>
    <font>
      <sz val="11"/>
      <color theme="1"/>
      <name val="Arial"/>
      <scheme val="minor"/>
    </font>
    <font>
      <b/>
      <sz val="15"/>
      <color theme="0"/>
      <name val="Calibri"/>
    </font>
    <font>
      <b/>
      <sz val="24"/>
      <color rgb="FFFFFFFF"/>
      <name val="Calibri"/>
    </font>
    <font>
      <sz val="12"/>
      <color theme="1"/>
      <name val="Calibri"/>
    </font>
    <font>
      <b/>
      <u/>
      <sz val="11"/>
      <color rgb="FF0563C1"/>
      <name val="Calibri"/>
    </font>
    <font>
      <sz val="11"/>
      <color rgb="FFFFFFFF"/>
      <name val="Arial"/>
    </font>
    <font>
      <b/>
      <u/>
      <sz val="11"/>
      <color rgb="FF0000FF"/>
      <name val="Calibri"/>
    </font>
    <font>
      <sz val="12"/>
      <color theme="1"/>
      <name val="Arial"/>
      <scheme val="minor"/>
    </font>
    <font>
      <sz val="11"/>
      <color rgb="FFFFFFFF"/>
      <name val="Arial"/>
      <scheme val="minor"/>
    </font>
    <font>
      <b/>
      <sz val="11"/>
      <color theme="1"/>
      <name val="Comfortaa"/>
    </font>
    <font>
      <sz val="11"/>
      <color rgb="FFFF0000"/>
      <name val="Calibri"/>
    </font>
    <font>
      <b/>
      <sz val="11"/>
      <color rgb="FFFF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6D9F0"/>
        <bgColor rgb="FFC6D9F0"/>
      </patternFill>
    </fill>
    <fill>
      <patternFill patternType="solid">
        <fgColor rgb="FF6AA84F"/>
        <bgColor rgb="FF6AA84F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00B0F0"/>
        <bgColor rgb="FF00B0F0"/>
      </patternFill>
    </fill>
    <fill>
      <patternFill patternType="solid">
        <fgColor rgb="FF7B7B7B"/>
        <bgColor rgb="FF7B7B7B"/>
      </patternFill>
    </fill>
    <fill>
      <patternFill patternType="solid">
        <fgColor rgb="FF1C4587"/>
        <bgColor rgb="FF1C4587"/>
      </patternFill>
    </fill>
    <fill>
      <patternFill patternType="solid">
        <fgColor rgb="FF0070C0"/>
        <bgColor rgb="FF0070C0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DCE6F2"/>
        <bgColor rgb="FFDCE6F2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2" fillId="4" borderId="14" xfId="0" applyFont="1" applyFill="1" applyBorder="1"/>
    <xf numFmtId="0" fontId="7" fillId="4" borderId="14" xfId="0" applyFont="1" applyFill="1" applyBorder="1" applyAlignment="1">
      <alignment vertical="top" wrapText="1"/>
    </xf>
    <xf numFmtId="0" fontId="17" fillId="14" borderId="15" xfId="0" applyFont="1" applyFill="1" applyBorder="1" applyAlignment="1">
      <alignment horizontal="center"/>
    </xf>
    <xf numFmtId="0" fontId="17" fillId="14" borderId="16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4" borderId="14" xfId="0" applyFont="1" applyFill="1" applyBorder="1"/>
    <xf numFmtId="0" fontId="15" fillId="0" borderId="15" xfId="0" applyFont="1" applyBorder="1"/>
    <xf numFmtId="0" fontId="2" fillId="4" borderId="14" xfId="0" applyFont="1" applyFill="1" applyBorder="1" applyAlignment="1">
      <alignment wrapText="1"/>
    </xf>
    <xf numFmtId="0" fontId="19" fillId="0" borderId="15" xfId="0" applyFont="1" applyBorder="1"/>
    <xf numFmtId="0" fontId="2" fillId="4" borderId="13" xfId="0" applyFont="1" applyFill="1" applyBorder="1"/>
    <xf numFmtId="0" fontId="2" fillId="16" borderId="18" xfId="0" applyFont="1" applyFill="1" applyBorder="1" applyAlignment="1">
      <alignment horizontal="right"/>
    </xf>
    <xf numFmtId="0" fontId="2" fillId="4" borderId="16" xfId="0" applyFont="1" applyFill="1" applyBorder="1"/>
    <xf numFmtId="0" fontId="23" fillId="0" borderId="0" xfId="0" applyFont="1"/>
    <xf numFmtId="0" fontId="10" fillId="6" borderId="4" xfId="0" applyFont="1" applyFill="1" applyBorder="1" applyAlignment="1">
      <alignment horizontal="left" wrapText="1"/>
    </xf>
    <xf numFmtId="0" fontId="13" fillId="8" borderId="4" xfId="0" applyFont="1" applyFill="1" applyBorder="1" applyAlignment="1">
      <alignment horizontal="left" wrapText="1"/>
    </xf>
    <xf numFmtId="0" fontId="8" fillId="9" borderId="4" xfId="0" applyFont="1" applyFill="1" applyBorder="1" applyAlignment="1">
      <alignment horizontal="left" wrapText="1"/>
    </xf>
    <xf numFmtId="0" fontId="8" fillId="12" borderId="4" xfId="0" applyFont="1" applyFill="1" applyBorder="1" applyAlignment="1">
      <alignment horizontal="left" wrapText="1"/>
    </xf>
    <xf numFmtId="0" fontId="8" fillId="5" borderId="11" xfId="0" applyFont="1" applyFill="1" applyBorder="1" applyAlignment="1">
      <alignment horizontal="left" wrapText="1"/>
    </xf>
    <xf numFmtId="0" fontId="5" fillId="0" borderId="28" xfId="0" applyFont="1" applyBorder="1" applyAlignment="1">
      <alignment horizontal="center" wrapText="1"/>
    </xf>
    <xf numFmtId="0" fontId="2" fillId="4" borderId="28" xfId="0" applyFont="1" applyFill="1" applyBorder="1" applyAlignment="1">
      <alignment horizontal="center" wrapText="1"/>
    </xf>
    <xf numFmtId="164" fontId="7" fillId="0" borderId="28" xfId="0" applyNumberFormat="1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0" fillId="0" borderId="28" xfId="0" applyBorder="1"/>
    <xf numFmtId="0" fontId="8" fillId="5" borderId="28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center" wrapText="1"/>
    </xf>
    <xf numFmtId="0" fontId="7" fillId="0" borderId="28" xfId="0" applyFont="1" applyBorder="1" applyAlignment="1">
      <alignment horizontal="center"/>
    </xf>
    <xf numFmtId="0" fontId="10" fillId="6" borderId="28" xfId="0" applyFont="1" applyFill="1" applyBorder="1" applyAlignment="1">
      <alignment horizontal="center" wrapText="1"/>
    </xf>
    <xf numFmtId="0" fontId="11" fillId="7" borderId="28" xfId="0" applyFont="1" applyFill="1" applyBorder="1" applyAlignment="1">
      <alignment horizontal="center" wrapText="1"/>
    </xf>
    <xf numFmtId="0" fontId="12" fillId="0" borderId="28" xfId="0" applyFont="1" applyBorder="1"/>
    <xf numFmtId="0" fontId="13" fillId="8" borderId="28" xfId="0" applyFont="1" applyFill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8" fillId="9" borderId="28" xfId="0" applyFont="1" applyFill="1" applyBorder="1" applyAlignment="1">
      <alignment horizontal="center" wrapText="1"/>
    </xf>
    <xf numFmtId="0" fontId="8" fillId="12" borderId="28" xfId="0" applyFont="1" applyFill="1" applyBorder="1" applyAlignment="1">
      <alignment horizontal="center" wrapText="1"/>
    </xf>
    <xf numFmtId="0" fontId="11" fillId="13" borderId="28" xfId="0" applyFont="1" applyFill="1" applyBorder="1" applyAlignment="1">
      <alignment horizontal="center" wrapText="1"/>
    </xf>
    <xf numFmtId="0" fontId="8" fillId="7" borderId="28" xfId="0" applyFont="1" applyFill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16" fillId="10" borderId="28" xfId="0" applyFont="1" applyFill="1" applyBorder="1" applyAlignment="1">
      <alignment horizontal="center" vertical="center" wrapText="1"/>
    </xf>
    <xf numFmtId="0" fontId="16" fillId="10" borderId="28" xfId="0" applyFont="1" applyFill="1" applyBorder="1" applyAlignment="1">
      <alignment horizontal="left" vertical="center" wrapText="1"/>
    </xf>
    <xf numFmtId="0" fontId="4" fillId="10" borderId="28" xfId="0" applyFont="1" applyFill="1" applyBorder="1"/>
    <xf numFmtId="0" fontId="16" fillId="0" borderId="28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left" vertical="center" wrapText="1"/>
    </xf>
    <xf numFmtId="0" fontId="21" fillId="6" borderId="28" xfId="0" applyFont="1" applyFill="1" applyBorder="1" applyAlignment="1">
      <alignment horizontal="left" vertical="center" wrapText="1"/>
    </xf>
    <xf numFmtId="0" fontId="24" fillId="6" borderId="28" xfId="0" applyFont="1" applyFill="1" applyBorder="1" applyAlignment="1">
      <alignment horizontal="left" vertical="center" wrapText="1"/>
    </xf>
    <xf numFmtId="0" fontId="21" fillId="8" borderId="28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wrapText="1"/>
    </xf>
    <xf numFmtId="0" fontId="3" fillId="0" borderId="28" xfId="0" applyFont="1" applyBorder="1"/>
    <xf numFmtId="0" fontId="7" fillId="0" borderId="28" xfId="0" applyFont="1" applyBorder="1" applyAlignment="1">
      <alignment horizontal="left" wrapText="1"/>
    </xf>
    <xf numFmtId="0" fontId="2" fillId="3" borderId="28" xfId="0" applyFont="1" applyFill="1" applyBorder="1" applyAlignment="1">
      <alignment horizontal="center" wrapText="1"/>
    </xf>
    <xf numFmtId="0" fontId="8" fillId="5" borderId="28" xfId="0" applyFont="1" applyFill="1" applyBorder="1" applyAlignment="1">
      <alignment horizontal="center" wrapText="1"/>
    </xf>
    <xf numFmtId="0" fontId="15" fillId="4" borderId="13" xfId="0" applyFont="1" applyFill="1" applyBorder="1" applyAlignment="1">
      <alignment wrapText="1"/>
    </xf>
    <xf numFmtId="0" fontId="3" fillId="0" borderId="12" xfId="0" applyFont="1" applyBorder="1"/>
    <xf numFmtId="0" fontId="14" fillId="11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15" fillId="4" borderId="8" xfId="0" applyFont="1" applyFill="1" applyBorder="1"/>
    <xf numFmtId="0" fontId="11" fillId="7" borderId="1" xfId="0" applyFont="1" applyFill="1" applyBorder="1" applyAlignment="1">
      <alignment horizontal="center" wrapText="1"/>
    </xf>
    <xf numFmtId="0" fontId="3" fillId="0" borderId="17" xfId="0" applyFont="1" applyBorder="1"/>
    <xf numFmtId="0" fontId="3" fillId="0" borderId="24" xfId="0" applyFont="1" applyBorder="1"/>
    <xf numFmtId="0" fontId="11" fillId="13" borderId="1" xfId="0" applyFont="1" applyFill="1" applyBorder="1" applyAlignment="1">
      <alignment horizontal="center" wrapText="1"/>
    </xf>
    <xf numFmtId="0" fontId="8" fillId="7" borderId="25" xfId="0" applyFont="1" applyFill="1" applyBorder="1" applyAlignment="1">
      <alignment horizontal="center" wrapText="1"/>
    </xf>
    <xf numFmtId="0" fontId="3" fillId="0" borderId="26" xfId="0" applyFont="1" applyBorder="1"/>
    <xf numFmtId="0" fontId="3" fillId="0" borderId="27" xfId="0" applyFont="1" applyBorder="1"/>
    <xf numFmtId="0" fontId="18" fillId="15" borderId="1" xfId="0" applyFont="1" applyFill="1" applyBorder="1" applyAlignment="1">
      <alignment horizontal="center"/>
    </xf>
    <xf numFmtId="0" fontId="3" fillId="0" borderId="2" xfId="0" applyFont="1" applyBorder="1"/>
    <xf numFmtId="0" fontId="22" fillId="17" borderId="5" xfId="0" applyFont="1" applyFill="1" applyBorder="1" applyAlignment="1">
      <alignment wrapText="1"/>
    </xf>
    <xf numFmtId="0" fontId="3" fillId="0" borderId="19" xfId="0" applyFont="1" applyBorder="1"/>
    <xf numFmtId="0" fontId="3" fillId="0" borderId="6" xfId="0" applyFont="1" applyBorder="1"/>
    <xf numFmtId="0" fontId="2" fillId="17" borderId="5" xfId="0" applyFont="1" applyFill="1" applyBorder="1" applyAlignment="1">
      <alignment wrapText="1"/>
    </xf>
    <xf numFmtId="0" fontId="25" fillId="18" borderId="20" xfId="0" applyFont="1" applyFill="1" applyBorder="1" applyAlignment="1">
      <alignment horizont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7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200025</xdr:rowOff>
    </xdr:from>
    <xdr:ext cx="4572000" cy="2562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942975</xdr:colOff>
      <xdr:row>0</xdr:row>
      <xdr:rowOff>171450</xdr:rowOff>
    </xdr:from>
    <xdr:ext cx="7400925" cy="82772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-c27eMCHjgb0vuXf-Be-yez0WBLoahL6hRrBGtOaoYg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iman-airlines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biman-airlin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H7"/>
  <sheetViews>
    <sheetView workbookViewId="0"/>
  </sheetViews>
  <sheetFormatPr defaultColWidth="12.6328125" defaultRowHeight="15.75" customHeight="1"/>
  <cols>
    <col min="8" max="8" width="49.6328125" customWidth="1"/>
  </cols>
  <sheetData>
    <row r="7" spans="8:8" ht="15.75" customHeight="1">
      <c r="H7" s="5" t="s">
        <v>2</v>
      </c>
    </row>
  </sheetData>
  <hyperlinks>
    <hyperlink ref="H7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9"/>
  <sheetViews>
    <sheetView workbookViewId="0"/>
  </sheetViews>
  <sheetFormatPr defaultColWidth="12.6328125" defaultRowHeight="15.75" customHeight="1"/>
  <cols>
    <col min="2" max="2" width="23.90625" customWidth="1"/>
    <col min="3" max="3" width="59" customWidth="1"/>
  </cols>
  <sheetData>
    <row r="1" spans="1:3" ht="13">
      <c r="A1" s="1" t="s">
        <v>0</v>
      </c>
      <c r="B1" s="2" t="s">
        <v>3</v>
      </c>
      <c r="C1" s="2" t="s">
        <v>4</v>
      </c>
    </row>
    <row r="2" spans="1:3" ht="15.75" customHeight="1">
      <c r="A2" s="3" t="s">
        <v>6</v>
      </c>
      <c r="B2" s="4" t="s">
        <v>7</v>
      </c>
      <c r="C2" s="4" t="s">
        <v>8</v>
      </c>
    </row>
    <row r="3" spans="1:3" ht="15.75" customHeight="1">
      <c r="A3" s="3" t="s">
        <v>9</v>
      </c>
      <c r="B3" s="4" t="s">
        <v>10</v>
      </c>
      <c r="C3" s="4" t="s">
        <v>11</v>
      </c>
    </row>
    <row r="4" spans="1:3" ht="15.75" customHeight="1">
      <c r="A4" s="3" t="s">
        <v>12</v>
      </c>
      <c r="B4" s="4" t="s">
        <v>13</v>
      </c>
      <c r="C4" s="4" t="s">
        <v>14</v>
      </c>
    </row>
    <row r="5" spans="1:3" ht="15.75" customHeight="1">
      <c r="A5" s="3" t="s">
        <v>15</v>
      </c>
      <c r="B5" s="4" t="s">
        <v>16</v>
      </c>
      <c r="C5" s="4" t="s">
        <v>17</v>
      </c>
    </row>
    <row r="6" spans="1:3" ht="15.75" customHeight="1">
      <c r="A6" s="3" t="s">
        <v>18</v>
      </c>
      <c r="B6" s="4" t="s">
        <v>19</v>
      </c>
      <c r="C6" s="4" t="s">
        <v>20</v>
      </c>
    </row>
    <row r="7" spans="1:3" ht="15.75" customHeight="1">
      <c r="A7" s="3" t="s">
        <v>21</v>
      </c>
      <c r="B7" s="4" t="s">
        <v>22</v>
      </c>
      <c r="C7" s="4" t="s">
        <v>23</v>
      </c>
    </row>
    <row r="8" spans="1:3" ht="15.75" customHeight="1">
      <c r="A8" s="3" t="s">
        <v>24</v>
      </c>
      <c r="B8" s="4" t="s">
        <v>25</v>
      </c>
      <c r="C8" s="4" t="s">
        <v>26</v>
      </c>
    </row>
    <row r="9" spans="1:3" ht="15.75" customHeight="1">
      <c r="A9" s="3" t="s">
        <v>27</v>
      </c>
      <c r="B9" s="4" t="s">
        <v>28</v>
      </c>
      <c r="C9" s="4" t="s">
        <v>29</v>
      </c>
    </row>
    <row r="10" spans="1:3" ht="15.75" customHeight="1">
      <c r="A10" s="3" t="s">
        <v>30</v>
      </c>
      <c r="B10" s="4" t="s">
        <v>31</v>
      </c>
      <c r="C10" s="4" t="s">
        <v>32</v>
      </c>
    </row>
    <row r="11" spans="1:3" ht="15.75" customHeight="1">
      <c r="A11" s="3" t="s">
        <v>33</v>
      </c>
      <c r="B11" s="4" t="s">
        <v>34</v>
      </c>
      <c r="C11" s="4" t="s">
        <v>35</v>
      </c>
    </row>
    <row r="12" spans="1:3" ht="15.75" customHeight="1">
      <c r="A12" s="3"/>
    </row>
    <row r="13" spans="1:3" ht="15.75" customHeight="1">
      <c r="A13" s="3"/>
    </row>
    <row r="14" spans="1:3" ht="15.75" customHeight="1">
      <c r="A14" s="3"/>
    </row>
    <row r="15" spans="1:3" ht="15.75" customHeight="1">
      <c r="A15" s="3"/>
    </row>
    <row r="16" spans="1:3" ht="15.75" customHeight="1">
      <c r="A16" s="3"/>
    </row>
    <row r="17" spans="1:1" ht="15.75" customHeight="1">
      <c r="A17" s="3"/>
    </row>
    <row r="18" spans="1:1" ht="15.75" customHeight="1">
      <c r="A18" s="3"/>
    </row>
    <row r="19" spans="1:1" ht="15.75" customHeight="1">
      <c r="A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69"/>
  <sheetViews>
    <sheetView tabSelected="1" workbookViewId="0">
      <selection activeCell="E1" sqref="E1"/>
    </sheetView>
  </sheetViews>
  <sheetFormatPr defaultColWidth="12.6328125" defaultRowHeight="12.5"/>
  <cols>
    <col min="1" max="1" width="6.36328125" style="28" bestFit="1" customWidth="1"/>
    <col min="2" max="2" width="13.26953125" style="28" bestFit="1" customWidth="1"/>
    <col min="3" max="3" width="17" style="28" bestFit="1" customWidth="1"/>
    <col min="4" max="4" width="22" style="28" customWidth="1"/>
    <col min="5" max="5" width="27.26953125" style="28" customWidth="1"/>
    <col min="6" max="6" width="25.1796875" style="28" bestFit="1" customWidth="1"/>
    <col min="7" max="7" width="20.453125" style="28" bestFit="1" customWidth="1"/>
    <col min="8" max="8" width="25.453125" style="28" customWidth="1"/>
    <col min="9" max="9" width="23.54296875" style="28" bestFit="1" customWidth="1"/>
    <col min="10" max="11" width="14.54296875" style="28" bestFit="1" customWidth="1"/>
    <col min="12" max="12" width="11" style="28" bestFit="1" customWidth="1"/>
    <col min="13" max="13" width="15.6328125" style="28" customWidth="1"/>
    <col min="14" max="14" width="20.7265625" style="28" customWidth="1"/>
    <col min="15" max="16384" width="12.6328125" style="28"/>
  </cols>
  <sheetData>
    <row r="1" spans="1:28" ht="14.5">
      <c r="A1" s="54" t="s">
        <v>1</v>
      </c>
      <c r="B1" s="52"/>
      <c r="C1" s="24" t="s">
        <v>5</v>
      </c>
      <c r="D1" s="25" t="s">
        <v>36</v>
      </c>
      <c r="E1" s="26">
        <v>46270</v>
      </c>
      <c r="F1" s="25" t="s">
        <v>37</v>
      </c>
      <c r="G1" s="27" t="str">
        <f>G2</f>
        <v xml:space="preserve"> - -</v>
      </c>
      <c r="J1" s="55" t="s">
        <v>38</v>
      </c>
      <c r="K1" s="52"/>
    </row>
    <row r="2" spans="1:28" ht="18.5">
      <c r="A2" s="54" t="s">
        <v>39</v>
      </c>
      <c r="B2" s="52"/>
      <c r="C2" s="30" t="s">
        <v>40</v>
      </c>
      <c r="D2" s="25" t="s">
        <v>41</v>
      </c>
      <c r="E2" s="27"/>
      <c r="F2" s="25" t="s">
        <v>42</v>
      </c>
      <c r="G2" s="31" t="s">
        <v>43</v>
      </c>
      <c r="J2" s="32" t="s">
        <v>44</v>
      </c>
      <c r="K2" s="33">
        <f>COUNTIF(K9:AB69, "Passed")</f>
        <v>59</v>
      </c>
    </row>
    <row r="3" spans="1:28" ht="14.5">
      <c r="A3" s="54" t="s">
        <v>45</v>
      </c>
      <c r="B3" s="52"/>
      <c r="C3" s="34"/>
      <c r="D3" s="25" t="s">
        <v>46</v>
      </c>
      <c r="E3" s="27" t="s">
        <v>47</v>
      </c>
      <c r="F3" s="25" t="s">
        <v>48</v>
      </c>
      <c r="G3" s="27" t="s">
        <v>49</v>
      </c>
      <c r="J3" s="35" t="s">
        <v>50</v>
      </c>
      <c r="K3" s="33">
        <f>COUNTIF(L9:L69, "Failed")</f>
        <v>2</v>
      </c>
    </row>
    <row r="4" spans="1:28" ht="14.5">
      <c r="A4" s="54" t="s">
        <v>51</v>
      </c>
      <c r="B4" s="52"/>
      <c r="C4" s="34"/>
      <c r="D4" s="25" t="s">
        <v>52</v>
      </c>
      <c r="E4" s="36" t="s">
        <v>53</v>
      </c>
      <c r="F4" s="25" t="s">
        <v>54</v>
      </c>
      <c r="G4" s="27" t="s">
        <v>55</v>
      </c>
      <c r="J4" s="37" t="s">
        <v>56</v>
      </c>
      <c r="K4" s="33">
        <f>COUNTIF(G8:G24, "Not Executed")</f>
        <v>0</v>
      </c>
    </row>
    <row r="5" spans="1:28" ht="14">
      <c r="A5" s="51" t="s">
        <v>57</v>
      </c>
      <c r="B5" s="52"/>
      <c r="C5" s="53" t="s">
        <v>47</v>
      </c>
      <c r="D5" s="52"/>
      <c r="E5" s="52"/>
      <c r="F5" s="52"/>
      <c r="G5" s="52"/>
      <c r="H5" s="52"/>
      <c r="I5" s="52"/>
      <c r="J5" s="38" t="s">
        <v>59</v>
      </c>
      <c r="K5" s="39">
        <f>COUNTIF(G8:G24, "Out of Scope")</f>
        <v>0</v>
      </c>
    </row>
    <row r="6" spans="1:28" ht="13.5">
      <c r="J6" s="29" t="s">
        <v>61</v>
      </c>
      <c r="K6" s="40">
        <f>SUM(K2:K5)</f>
        <v>61</v>
      </c>
    </row>
    <row r="7" spans="1:28" ht="13.5">
      <c r="J7" s="41"/>
      <c r="K7" s="41"/>
    </row>
    <row r="8" spans="1:28" ht="28">
      <c r="A8" s="42" t="s">
        <v>0</v>
      </c>
      <c r="B8" s="42" t="s">
        <v>3</v>
      </c>
      <c r="C8" s="42" t="s">
        <v>64</v>
      </c>
      <c r="D8" s="42" t="s">
        <v>65</v>
      </c>
      <c r="E8" s="42" t="s">
        <v>66</v>
      </c>
      <c r="F8" s="42" t="s">
        <v>67</v>
      </c>
      <c r="G8" s="42" t="s">
        <v>68</v>
      </c>
      <c r="H8" s="42" t="s">
        <v>69</v>
      </c>
      <c r="I8" s="42" t="s">
        <v>70</v>
      </c>
      <c r="J8" s="42" t="s">
        <v>72</v>
      </c>
      <c r="K8" s="42" t="s">
        <v>73</v>
      </c>
      <c r="L8" s="43" t="s">
        <v>74</v>
      </c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28" ht="28">
      <c r="A9" s="45" t="s">
        <v>78</v>
      </c>
      <c r="B9" s="45" t="s">
        <v>7</v>
      </c>
      <c r="C9" s="45" t="s">
        <v>81</v>
      </c>
      <c r="D9" s="45" t="s">
        <v>82</v>
      </c>
      <c r="E9" s="45" t="s">
        <v>83</v>
      </c>
      <c r="F9" s="46" t="s">
        <v>85</v>
      </c>
      <c r="G9" s="45"/>
      <c r="H9" s="45" t="s">
        <v>87</v>
      </c>
      <c r="I9" s="45" t="s">
        <v>90</v>
      </c>
      <c r="J9" s="45"/>
      <c r="K9" s="45"/>
      <c r="L9" s="47" t="s">
        <v>92</v>
      </c>
    </row>
    <row r="10" spans="1:28" ht="28">
      <c r="A10" s="45" t="s">
        <v>95</v>
      </c>
      <c r="B10" s="45" t="s">
        <v>7</v>
      </c>
      <c r="C10" s="45" t="s">
        <v>81</v>
      </c>
      <c r="D10" s="45" t="s">
        <v>96</v>
      </c>
      <c r="E10" s="45" t="s">
        <v>97</v>
      </c>
      <c r="F10" s="46" t="s">
        <v>99</v>
      </c>
      <c r="G10" s="45"/>
      <c r="H10" s="45" t="s">
        <v>100</v>
      </c>
      <c r="I10" s="45" t="s">
        <v>101</v>
      </c>
      <c r="J10" s="45"/>
      <c r="K10" s="45"/>
      <c r="L10" s="47" t="s">
        <v>92</v>
      </c>
    </row>
    <row r="11" spans="1:28" ht="28">
      <c r="A11" s="45" t="s">
        <v>105</v>
      </c>
      <c r="B11" s="45" t="s">
        <v>7</v>
      </c>
      <c r="C11" s="45" t="s">
        <v>81</v>
      </c>
      <c r="D11" s="45" t="s">
        <v>107</v>
      </c>
      <c r="E11" s="45" t="s">
        <v>108</v>
      </c>
      <c r="F11" s="46" t="s">
        <v>109</v>
      </c>
      <c r="G11" s="45"/>
      <c r="H11" s="45" t="s">
        <v>110</v>
      </c>
      <c r="I11" s="45" t="s">
        <v>111</v>
      </c>
      <c r="J11" s="45"/>
      <c r="K11" s="45"/>
      <c r="L11" s="47" t="s">
        <v>92</v>
      </c>
    </row>
    <row r="12" spans="1:28" ht="42">
      <c r="A12" s="45" t="s">
        <v>115</v>
      </c>
      <c r="B12" s="45" t="s">
        <v>7</v>
      </c>
      <c r="C12" s="45" t="s">
        <v>81</v>
      </c>
      <c r="D12" s="45" t="s">
        <v>117</v>
      </c>
      <c r="E12" s="45" t="s">
        <v>119</v>
      </c>
      <c r="F12" s="46" t="s">
        <v>121</v>
      </c>
      <c r="G12" s="45"/>
      <c r="H12" s="45" t="s">
        <v>122</v>
      </c>
      <c r="I12" s="45" t="s">
        <v>123</v>
      </c>
      <c r="J12" s="45"/>
      <c r="K12" s="45"/>
      <c r="L12" s="47" t="s">
        <v>92</v>
      </c>
    </row>
    <row r="13" spans="1:28" ht="42">
      <c r="A13" s="45" t="s">
        <v>127</v>
      </c>
      <c r="B13" s="45" t="s">
        <v>7</v>
      </c>
      <c r="C13" s="45" t="s">
        <v>81</v>
      </c>
      <c r="D13" s="45" t="s">
        <v>131</v>
      </c>
      <c r="E13" s="45" t="s">
        <v>132</v>
      </c>
      <c r="F13" s="46" t="s">
        <v>133</v>
      </c>
      <c r="G13" s="45"/>
      <c r="H13" s="45" t="s">
        <v>134</v>
      </c>
      <c r="I13" s="45" t="s">
        <v>135</v>
      </c>
      <c r="J13" s="45"/>
      <c r="K13" s="45"/>
      <c r="L13" s="47" t="s">
        <v>92</v>
      </c>
    </row>
    <row r="14" spans="1:28" ht="42">
      <c r="A14" s="45" t="s">
        <v>139</v>
      </c>
      <c r="B14" s="45" t="s">
        <v>7</v>
      </c>
      <c r="C14" s="45" t="s">
        <v>81</v>
      </c>
      <c r="D14" s="45" t="s">
        <v>142</v>
      </c>
      <c r="E14" s="45" t="s">
        <v>143</v>
      </c>
      <c r="F14" s="46" t="s">
        <v>144</v>
      </c>
      <c r="G14" s="45"/>
      <c r="H14" s="45" t="s">
        <v>146</v>
      </c>
      <c r="I14" s="45" t="s">
        <v>148</v>
      </c>
      <c r="J14" s="45"/>
      <c r="K14" s="45"/>
      <c r="L14" s="47" t="s">
        <v>92</v>
      </c>
    </row>
    <row r="15" spans="1:28" ht="42">
      <c r="A15" s="45" t="s">
        <v>153</v>
      </c>
      <c r="B15" s="45" t="s">
        <v>7</v>
      </c>
      <c r="C15" s="45" t="s">
        <v>81</v>
      </c>
      <c r="D15" s="45" t="s">
        <v>157</v>
      </c>
      <c r="E15" s="45" t="s">
        <v>158</v>
      </c>
      <c r="F15" s="46" t="s">
        <v>160</v>
      </c>
      <c r="G15" s="45"/>
      <c r="H15" s="45" t="s">
        <v>162</v>
      </c>
      <c r="I15" s="45" t="s">
        <v>165</v>
      </c>
      <c r="J15" s="45"/>
      <c r="K15" s="45"/>
      <c r="L15" s="47" t="s">
        <v>92</v>
      </c>
    </row>
    <row r="16" spans="1:28" ht="42">
      <c r="A16" s="45" t="s">
        <v>168</v>
      </c>
      <c r="B16" s="45" t="s">
        <v>7</v>
      </c>
      <c r="C16" s="45" t="s">
        <v>81</v>
      </c>
      <c r="D16" s="45" t="s">
        <v>170</v>
      </c>
      <c r="E16" s="45" t="s">
        <v>171</v>
      </c>
      <c r="F16" s="46" t="s">
        <v>172</v>
      </c>
      <c r="G16" s="45"/>
      <c r="H16" s="45" t="s">
        <v>174</v>
      </c>
      <c r="I16" s="45" t="s">
        <v>175</v>
      </c>
      <c r="J16" s="45"/>
      <c r="K16" s="45"/>
      <c r="L16" s="48" t="s">
        <v>92</v>
      </c>
    </row>
    <row r="17" spans="1:12" ht="42">
      <c r="A17" s="45" t="s">
        <v>178</v>
      </c>
      <c r="B17" s="45" t="s">
        <v>7</v>
      </c>
      <c r="C17" s="45" t="s">
        <v>81</v>
      </c>
      <c r="D17" s="45" t="s">
        <v>179</v>
      </c>
      <c r="E17" s="45" t="s">
        <v>180</v>
      </c>
      <c r="F17" s="46" t="s">
        <v>181</v>
      </c>
      <c r="G17" s="45"/>
      <c r="H17" s="45" t="s">
        <v>182</v>
      </c>
      <c r="I17" s="45" t="s">
        <v>183</v>
      </c>
      <c r="J17" s="45"/>
      <c r="K17" s="45"/>
      <c r="L17" s="47" t="s">
        <v>92</v>
      </c>
    </row>
    <row r="18" spans="1:12" ht="42">
      <c r="A18" s="45" t="s">
        <v>184</v>
      </c>
      <c r="B18" s="45" t="s">
        <v>7</v>
      </c>
      <c r="C18" s="45" t="s">
        <v>81</v>
      </c>
      <c r="D18" s="45" t="s">
        <v>185</v>
      </c>
      <c r="E18" s="45" t="s">
        <v>186</v>
      </c>
      <c r="F18" s="46" t="s">
        <v>187</v>
      </c>
      <c r="G18" s="45"/>
      <c r="H18" s="45" t="s">
        <v>188</v>
      </c>
      <c r="I18" s="45" t="s">
        <v>189</v>
      </c>
      <c r="J18" s="45"/>
      <c r="K18" s="45"/>
      <c r="L18" s="47" t="s">
        <v>92</v>
      </c>
    </row>
    <row r="19" spans="1:12" ht="42">
      <c r="A19" s="45" t="s">
        <v>190</v>
      </c>
      <c r="B19" s="45" t="s">
        <v>7</v>
      </c>
      <c r="C19" s="45" t="s">
        <v>81</v>
      </c>
      <c r="D19" s="45" t="s">
        <v>191</v>
      </c>
      <c r="E19" s="45" t="s">
        <v>192</v>
      </c>
      <c r="F19" s="46" t="s">
        <v>193</v>
      </c>
      <c r="G19" s="45"/>
      <c r="H19" s="45" t="s">
        <v>194</v>
      </c>
      <c r="I19" s="45" t="s">
        <v>195</v>
      </c>
      <c r="J19" s="45"/>
      <c r="K19" s="45"/>
      <c r="L19" s="47" t="s">
        <v>92</v>
      </c>
    </row>
    <row r="20" spans="1:12" ht="42">
      <c r="A20" s="45" t="s">
        <v>196</v>
      </c>
      <c r="B20" s="45" t="s">
        <v>7</v>
      </c>
      <c r="C20" s="45" t="s">
        <v>81</v>
      </c>
      <c r="D20" s="45" t="s">
        <v>197</v>
      </c>
      <c r="E20" s="45" t="s">
        <v>198</v>
      </c>
      <c r="F20" s="46" t="s">
        <v>199</v>
      </c>
      <c r="G20" s="45"/>
      <c r="H20" s="45" t="s">
        <v>200</v>
      </c>
      <c r="I20" s="45" t="s">
        <v>201</v>
      </c>
      <c r="J20" s="45"/>
      <c r="K20" s="45"/>
      <c r="L20" s="47" t="s">
        <v>92</v>
      </c>
    </row>
    <row r="21" spans="1:12" ht="42">
      <c r="A21" s="45" t="s">
        <v>202</v>
      </c>
      <c r="B21" s="45" t="s">
        <v>7</v>
      </c>
      <c r="C21" s="45" t="s">
        <v>81</v>
      </c>
      <c r="D21" s="45" t="s">
        <v>203</v>
      </c>
      <c r="E21" s="45" t="s">
        <v>204</v>
      </c>
      <c r="F21" s="46" t="s">
        <v>205</v>
      </c>
      <c r="G21" s="45"/>
      <c r="H21" s="45" t="s">
        <v>206</v>
      </c>
      <c r="I21" s="45" t="s">
        <v>207</v>
      </c>
      <c r="J21" s="45"/>
      <c r="K21" s="45"/>
      <c r="L21" s="47" t="s">
        <v>92</v>
      </c>
    </row>
    <row r="22" spans="1:12" ht="28">
      <c r="A22" s="45" t="s">
        <v>208</v>
      </c>
      <c r="B22" s="45" t="s">
        <v>7</v>
      </c>
      <c r="C22" s="45" t="s">
        <v>209</v>
      </c>
      <c r="D22" s="45" t="s">
        <v>210</v>
      </c>
      <c r="E22" s="45" t="s">
        <v>211</v>
      </c>
      <c r="F22" s="46" t="s">
        <v>212</v>
      </c>
      <c r="G22" s="45"/>
      <c r="H22" s="45" t="s">
        <v>213</v>
      </c>
      <c r="I22" s="45" t="s">
        <v>214</v>
      </c>
      <c r="J22" s="45"/>
      <c r="K22" s="45"/>
      <c r="L22" s="47" t="s">
        <v>92</v>
      </c>
    </row>
    <row r="23" spans="1:12" ht="28">
      <c r="A23" s="45" t="s">
        <v>215</v>
      </c>
      <c r="B23" s="45" t="s">
        <v>7</v>
      </c>
      <c r="C23" s="45" t="s">
        <v>209</v>
      </c>
      <c r="D23" s="45" t="s">
        <v>216</v>
      </c>
      <c r="E23" s="45" t="s">
        <v>217</v>
      </c>
      <c r="F23" s="46" t="s">
        <v>218</v>
      </c>
      <c r="G23" s="45"/>
      <c r="H23" s="45" t="s">
        <v>219</v>
      </c>
      <c r="I23" s="45" t="s">
        <v>220</v>
      </c>
      <c r="J23" s="45"/>
      <c r="K23" s="45"/>
      <c r="L23" s="47" t="s">
        <v>92</v>
      </c>
    </row>
    <row r="24" spans="1:12" ht="42">
      <c r="A24" s="45" t="s">
        <v>221</v>
      </c>
      <c r="B24" s="45" t="s">
        <v>7</v>
      </c>
      <c r="C24" s="45" t="s">
        <v>81</v>
      </c>
      <c r="D24" s="45" t="s">
        <v>222</v>
      </c>
      <c r="E24" s="45" t="s">
        <v>223</v>
      </c>
      <c r="F24" s="46" t="s">
        <v>71</v>
      </c>
      <c r="G24" s="45" t="s">
        <v>224</v>
      </c>
      <c r="H24" s="45" t="s">
        <v>225</v>
      </c>
      <c r="I24" s="45" t="s">
        <v>226</v>
      </c>
      <c r="J24" s="45"/>
      <c r="K24" s="45"/>
      <c r="L24" s="49" t="s">
        <v>227</v>
      </c>
    </row>
    <row r="25" spans="1:12" ht="42">
      <c r="A25" s="45" t="s">
        <v>228</v>
      </c>
      <c r="B25" s="45" t="s">
        <v>7</v>
      </c>
      <c r="C25" s="45" t="s">
        <v>81</v>
      </c>
      <c r="D25" s="45" t="s">
        <v>229</v>
      </c>
      <c r="E25" s="45" t="s">
        <v>230</v>
      </c>
      <c r="F25" s="46" t="s">
        <v>231</v>
      </c>
      <c r="G25" s="45" t="s">
        <v>232</v>
      </c>
      <c r="H25" s="45" t="s">
        <v>233</v>
      </c>
      <c r="I25" s="45" t="s">
        <v>234</v>
      </c>
      <c r="J25" s="45"/>
      <c r="K25" s="45"/>
      <c r="L25" s="47" t="s">
        <v>92</v>
      </c>
    </row>
    <row r="26" spans="1:12" ht="28">
      <c r="A26" s="45" t="s">
        <v>235</v>
      </c>
      <c r="B26" s="45" t="s">
        <v>10</v>
      </c>
      <c r="C26" s="45" t="s">
        <v>81</v>
      </c>
      <c r="D26" s="45" t="s">
        <v>236</v>
      </c>
      <c r="E26" s="45" t="s">
        <v>237</v>
      </c>
      <c r="F26" s="46" t="s">
        <v>238</v>
      </c>
      <c r="G26" s="45"/>
      <c r="H26" s="45" t="s">
        <v>239</v>
      </c>
      <c r="I26" s="45" t="s">
        <v>240</v>
      </c>
      <c r="J26" s="45"/>
      <c r="K26" s="45"/>
      <c r="L26" s="47" t="s">
        <v>92</v>
      </c>
    </row>
    <row r="27" spans="1:12" ht="28">
      <c r="A27" s="45" t="s">
        <v>241</v>
      </c>
      <c r="B27" s="45" t="s">
        <v>10</v>
      </c>
      <c r="C27" s="45" t="s">
        <v>81</v>
      </c>
      <c r="D27" s="45" t="s">
        <v>242</v>
      </c>
      <c r="E27" s="45" t="s">
        <v>243</v>
      </c>
      <c r="F27" s="46" t="s">
        <v>244</v>
      </c>
      <c r="G27" s="45" t="s">
        <v>242</v>
      </c>
      <c r="H27" s="45" t="s">
        <v>245</v>
      </c>
      <c r="I27" s="45" t="s">
        <v>246</v>
      </c>
      <c r="J27" s="45"/>
      <c r="K27" s="45"/>
      <c r="L27" s="47" t="s">
        <v>92</v>
      </c>
    </row>
    <row r="28" spans="1:12" ht="28">
      <c r="A28" s="45" t="s">
        <v>247</v>
      </c>
      <c r="B28" s="45" t="s">
        <v>10</v>
      </c>
      <c r="C28" s="45" t="s">
        <v>81</v>
      </c>
      <c r="D28" s="45" t="s">
        <v>248</v>
      </c>
      <c r="E28" s="45" t="s">
        <v>249</v>
      </c>
      <c r="F28" s="46" t="s">
        <v>250</v>
      </c>
      <c r="G28" s="45" t="s">
        <v>248</v>
      </c>
      <c r="H28" s="45" t="s">
        <v>251</v>
      </c>
      <c r="I28" s="45" t="s">
        <v>252</v>
      </c>
      <c r="J28" s="45"/>
      <c r="K28" s="45"/>
      <c r="L28" s="47" t="s">
        <v>92</v>
      </c>
    </row>
    <row r="29" spans="1:12" ht="28">
      <c r="A29" s="45" t="s">
        <v>253</v>
      </c>
      <c r="B29" s="45" t="s">
        <v>10</v>
      </c>
      <c r="C29" s="45" t="s">
        <v>81</v>
      </c>
      <c r="D29" s="45" t="s">
        <v>19</v>
      </c>
      <c r="E29" s="45" t="s">
        <v>254</v>
      </c>
      <c r="F29" s="46" t="s">
        <v>255</v>
      </c>
      <c r="G29" s="45" t="s">
        <v>19</v>
      </c>
      <c r="H29" s="45" t="s">
        <v>256</v>
      </c>
      <c r="I29" s="45" t="s">
        <v>257</v>
      </c>
      <c r="J29" s="45"/>
      <c r="K29" s="45"/>
      <c r="L29" s="47" t="s">
        <v>92</v>
      </c>
    </row>
    <row r="30" spans="1:12" ht="42">
      <c r="A30" s="45" t="s">
        <v>258</v>
      </c>
      <c r="B30" s="45" t="s">
        <v>10</v>
      </c>
      <c r="C30" s="45" t="s">
        <v>81</v>
      </c>
      <c r="D30" s="45" t="s">
        <v>259</v>
      </c>
      <c r="E30" s="45" t="s">
        <v>260</v>
      </c>
      <c r="F30" s="46" t="s">
        <v>261</v>
      </c>
      <c r="G30" s="45" t="s">
        <v>262</v>
      </c>
      <c r="H30" s="45" t="s">
        <v>263</v>
      </c>
      <c r="I30" s="45" t="s">
        <v>264</v>
      </c>
      <c r="J30" s="45"/>
      <c r="K30" s="45"/>
      <c r="L30" s="47" t="s">
        <v>92</v>
      </c>
    </row>
    <row r="31" spans="1:12" ht="42">
      <c r="A31" s="45" t="s">
        <v>265</v>
      </c>
      <c r="B31" s="45" t="s">
        <v>10</v>
      </c>
      <c r="C31" s="45" t="s">
        <v>81</v>
      </c>
      <c r="D31" s="45" t="s">
        <v>266</v>
      </c>
      <c r="E31" s="45" t="s">
        <v>267</v>
      </c>
      <c r="F31" s="46" t="s">
        <v>268</v>
      </c>
      <c r="G31" s="45" t="s">
        <v>269</v>
      </c>
      <c r="H31" s="45" t="s">
        <v>270</v>
      </c>
      <c r="I31" s="45" t="s">
        <v>271</v>
      </c>
      <c r="J31" s="45"/>
      <c r="K31" s="45"/>
      <c r="L31" s="47" t="s">
        <v>92</v>
      </c>
    </row>
    <row r="32" spans="1:12" ht="42">
      <c r="A32" s="45" t="s">
        <v>272</v>
      </c>
      <c r="B32" s="45" t="s">
        <v>10</v>
      </c>
      <c r="C32" s="45" t="s">
        <v>209</v>
      </c>
      <c r="D32" s="45" t="s">
        <v>273</v>
      </c>
      <c r="E32" s="45" t="s">
        <v>274</v>
      </c>
      <c r="F32" s="46" t="s">
        <v>275</v>
      </c>
      <c r="G32" s="45" t="s">
        <v>276</v>
      </c>
      <c r="H32" s="45" t="s">
        <v>277</v>
      </c>
      <c r="I32" s="45" t="s">
        <v>278</v>
      </c>
      <c r="J32" s="45"/>
      <c r="K32" s="45"/>
      <c r="L32" s="47" t="s">
        <v>92</v>
      </c>
    </row>
    <row r="33" spans="1:12" ht="42">
      <c r="A33" s="45" t="s">
        <v>279</v>
      </c>
      <c r="B33" s="45" t="s">
        <v>10</v>
      </c>
      <c r="C33" s="45" t="s">
        <v>209</v>
      </c>
      <c r="D33" s="45" t="s">
        <v>280</v>
      </c>
      <c r="E33" s="45" t="s">
        <v>281</v>
      </c>
      <c r="F33" s="46" t="s">
        <v>282</v>
      </c>
      <c r="G33" s="45" t="s">
        <v>276</v>
      </c>
      <c r="H33" s="45" t="s">
        <v>277</v>
      </c>
      <c r="I33" s="45" t="s">
        <v>283</v>
      </c>
      <c r="J33" s="45"/>
      <c r="K33" s="45"/>
      <c r="L33" s="47" t="s">
        <v>92</v>
      </c>
    </row>
    <row r="34" spans="1:12" ht="56">
      <c r="A34" s="45" t="s">
        <v>284</v>
      </c>
      <c r="B34" s="45" t="s">
        <v>10</v>
      </c>
      <c r="C34" s="45" t="s">
        <v>209</v>
      </c>
      <c r="D34" s="45" t="s">
        <v>285</v>
      </c>
      <c r="E34" s="45" t="s">
        <v>286</v>
      </c>
      <c r="F34" s="46" t="s">
        <v>287</v>
      </c>
      <c r="G34" s="45" t="s">
        <v>288</v>
      </c>
      <c r="H34" s="45" t="s">
        <v>289</v>
      </c>
      <c r="I34" s="45" t="s">
        <v>290</v>
      </c>
      <c r="J34" s="45"/>
      <c r="K34" s="45"/>
      <c r="L34" s="47" t="s">
        <v>92</v>
      </c>
    </row>
    <row r="35" spans="1:12" ht="42">
      <c r="A35" s="45" t="s">
        <v>291</v>
      </c>
      <c r="B35" s="45" t="s">
        <v>10</v>
      </c>
      <c r="C35" s="45" t="s">
        <v>81</v>
      </c>
      <c r="D35" s="45" t="s">
        <v>292</v>
      </c>
      <c r="E35" s="45" t="s">
        <v>293</v>
      </c>
      <c r="F35" s="46" t="s">
        <v>294</v>
      </c>
      <c r="G35" s="45" t="s">
        <v>295</v>
      </c>
      <c r="H35" s="45" t="s">
        <v>296</v>
      </c>
      <c r="I35" s="45" t="s">
        <v>297</v>
      </c>
      <c r="J35" s="45"/>
      <c r="K35" s="45"/>
      <c r="L35" s="47" t="s">
        <v>92</v>
      </c>
    </row>
    <row r="36" spans="1:12" ht="42">
      <c r="A36" s="45" t="s">
        <v>298</v>
      </c>
      <c r="B36" s="45" t="s">
        <v>10</v>
      </c>
      <c r="C36" s="45" t="s">
        <v>209</v>
      </c>
      <c r="D36" s="45" t="s">
        <v>299</v>
      </c>
      <c r="E36" s="45" t="s">
        <v>300</v>
      </c>
      <c r="F36" s="46" t="s">
        <v>301</v>
      </c>
      <c r="G36" s="45" t="s">
        <v>302</v>
      </c>
      <c r="H36" s="45" t="s">
        <v>303</v>
      </c>
      <c r="I36" s="45" t="s">
        <v>297</v>
      </c>
      <c r="J36" s="45"/>
      <c r="K36" s="45"/>
      <c r="L36" s="47" t="s">
        <v>92</v>
      </c>
    </row>
    <row r="37" spans="1:12" ht="42">
      <c r="A37" s="45" t="s">
        <v>304</v>
      </c>
      <c r="B37" s="45" t="s">
        <v>10</v>
      </c>
      <c r="C37" s="45" t="s">
        <v>81</v>
      </c>
      <c r="D37" s="45" t="s">
        <v>305</v>
      </c>
      <c r="E37" s="45" t="s">
        <v>306</v>
      </c>
      <c r="F37" s="46" t="s">
        <v>307</v>
      </c>
      <c r="G37" s="45" t="s">
        <v>308</v>
      </c>
      <c r="H37" s="45" t="s">
        <v>309</v>
      </c>
      <c r="I37" s="45" t="s">
        <v>297</v>
      </c>
      <c r="J37" s="45"/>
      <c r="K37" s="45"/>
      <c r="L37" s="47" t="s">
        <v>92</v>
      </c>
    </row>
    <row r="38" spans="1:12" ht="42">
      <c r="A38" s="45" t="s">
        <v>310</v>
      </c>
      <c r="B38" s="45" t="s">
        <v>10</v>
      </c>
      <c r="C38" s="45" t="s">
        <v>209</v>
      </c>
      <c r="D38" s="45" t="s">
        <v>311</v>
      </c>
      <c r="E38" s="45" t="s">
        <v>312</v>
      </c>
      <c r="F38" s="46" t="s">
        <v>313</v>
      </c>
      <c r="G38" s="45" t="s">
        <v>314</v>
      </c>
      <c r="H38" s="45" t="s">
        <v>315</v>
      </c>
      <c r="I38" s="45" t="s">
        <v>297</v>
      </c>
      <c r="J38" s="45"/>
      <c r="K38" s="45"/>
      <c r="L38" s="47" t="s">
        <v>92</v>
      </c>
    </row>
    <row r="39" spans="1:12" ht="28">
      <c r="A39" s="45" t="s">
        <v>316</v>
      </c>
      <c r="B39" s="45" t="s">
        <v>10</v>
      </c>
      <c r="C39" s="45" t="s">
        <v>81</v>
      </c>
      <c r="D39" s="45" t="s">
        <v>317</v>
      </c>
      <c r="E39" s="45" t="s">
        <v>318</v>
      </c>
      <c r="F39" s="46" t="s">
        <v>319</v>
      </c>
      <c r="G39" s="45" t="s">
        <v>320</v>
      </c>
      <c r="H39" s="45" t="s">
        <v>321</v>
      </c>
      <c r="I39" s="45" t="s">
        <v>322</v>
      </c>
      <c r="J39" s="45"/>
      <c r="K39" s="45"/>
      <c r="L39" s="47" t="s">
        <v>92</v>
      </c>
    </row>
    <row r="40" spans="1:12" ht="28">
      <c r="A40" s="45" t="s">
        <v>323</v>
      </c>
      <c r="B40" s="45" t="s">
        <v>10</v>
      </c>
      <c r="C40" s="45" t="s">
        <v>81</v>
      </c>
      <c r="D40" s="45" t="s">
        <v>324</v>
      </c>
      <c r="E40" s="45" t="s">
        <v>325</v>
      </c>
      <c r="F40" s="46" t="s">
        <v>326</v>
      </c>
      <c r="G40" s="45" t="s">
        <v>327</v>
      </c>
      <c r="H40" s="45" t="s">
        <v>328</v>
      </c>
      <c r="I40" s="45" t="s">
        <v>329</v>
      </c>
      <c r="J40" s="45"/>
      <c r="K40" s="45"/>
      <c r="L40" s="47" t="s">
        <v>92</v>
      </c>
    </row>
    <row r="41" spans="1:12" ht="28">
      <c r="A41" s="45" t="s">
        <v>330</v>
      </c>
      <c r="B41" s="45" t="s">
        <v>10</v>
      </c>
      <c r="C41" s="45" t="s">
        <v>81</v>
      </c>
      <c r="D41" s="45" t="s">
        <v>331</v>
      </c>
      <c r="E41" s="45" t="s">
        <v>332</v>
      </c>
      <c r="F41" s="46" t="s">
        <v>333</v>
      </c>
      <c r="G41" s="45" t="s">
        <v>334</v>
      </c>
      <c r="H41" s="45" t="s">
        <v>335</v>
      </c>
      <c r="I41" s="45" t="s">
        <v>336</v>
      </c>
      <c r="J41" s="45"/>
      <c r="K41" s="45"/>
      <c r="L41" s="47" t="s">
        <v>92</v>
      </c>
    </row>
    <row r="42" spans="1:12" ht="42">
      <c r="A42" s="45" t="s">
        <v>337</v>
      </c>
      <c r="B42" s="45" t="s">
        <v>10</v>
      </c>
      <c r="C42" s="45" t="s">
        <v>209</v>
      </c>
      <c r="D42" s="45" t="s">
        <v>338</v>
      </c>
      <c r="E42" s="45" t="s">
        <v>339</v>
      </c>
      <c r="F42" s="46" t="s">
        <v>340</v>
      </c>
      <c r="G42" s="45" t="s">
        <v>341</v>
      </c>
      <c r="H42" s="45" t="s">
        <v>342</v>
      </c>
      <c r="I42" s="45" t="s">
        <v>343</v>
      </c>
      <c r="J42" s="45"/>
      <c r="K42" s="45"/>
      <c r="L42" s="47" t="s">
        <v>92</v>
      </c>
    </row>
    <row r="43" spans="1:12" ht="42">
      <c r="A43" s="45" t="s">
        <v>344</v>
      </c>
      <c r="B43" s="45" t="s">
        <v>10</v>
      </c>
      <c r="C43" s="45" t="s">
        <v>209</v>
      </c>
      <c r="D43" s="45" t="s">
        <v>345</v>
      </c>
      <c r="E43" s="45" t="s">
        <v>346</v>
      </c>
      <c r="F43" s="46" t="s">
        <v>347</v>
      </c>
      <c r="G43" s="45" t="s">
        <v>348</v>
      </c>
      <c r="H43" s="45" t="s">
        <v>349</v>
      </c>
      <c r="I43" s="45" t="s">
        <v>350</v>
      </c>
      <c r="J43" s="45"/>
      <c r="K43" s="45"/>
      <c r="L43" s="47" t="s">
        <v>92</v>
      </c>
    </row>
    <row r="44" spans="1:12" ht="42">
      <c r="A44" s="45" t="s">
        <v>351</v>
      </c>
      <c r="B44" s="45" t="s">
        <v>10</v>
      </c>
      <c r="C44" s="45" t="s">
        <v>209</v>
      </c>
      <c r="D44" s="45" t="s">
        <v>352</v>
      </c>
      <c r="E44" s="45" t="s">
        <v>353</v>
      </c>
      <c r="F44" s="46" t="s">
        <v>354</v>
      </c>
      <c r="G44" s="45" t="s">
        <v>355</v>
      </c>
      <c r="H44" s="45" t="s">
        <v>356</v>
      </c>
      <c r="I44" s="45" t="s">
        <v>357</v>
      </c>
      <c r="J44" s="45"/>
      <c r="K44" s="45"/>
      <c r="L44" s="47" t="s">
        <v>92</v>
      </c>
    </row>
    <row r="45" spans="1:12" ht="28">
      <c r="A45" s="45" t="s">
        <v>358</v>
      </c>
      <c r="B45" s="45" t="s">
        <v>10</v>
      </c>
      <c r="C45" s="45" t="s">
        <v>81</v>
      </c>
      <c r="D45" s="45" t="s">
        <v>359</v>
      </c>
      <c r="E45" s="45" t="s">
        <v>360</v>
      </c>
      <c r="F45" s="46" t="s">
        <v>361</v>
      </c>
      <c r="G45" s="45" t="s">
        <v>362</v>
      </c>
      <c r="H45" s="45" t="s">
        <v>363</v>
      </c>
      <c r="I45" s="45" t="s">
        <v>364</v>
      </c>
      <c r="J45" s="45"/>
      <c r="K45" s="45"/>
      <c r="L45" s="47" t="s">
        <v>92</v>
      </c>
    </row>
    <row r="46" spans="1:12" ht="28">
      <c r="A46" s="45" t="s">
        <v>365</v>
      </c>
      <c r="B46" s="45" t="s">
        <v>10</v>
      </c>
      <c r="C46" s="45" t="s">
        <v>81</v>
      </c>
      <c r="D46" s="45" t="s">
        <v>25</v>
      </c>
      <c r="E46" s="45" t="s">
        <v>366</v>
      </c>
      <c r="F46" s="46" t="s">
        <v>367</v>
      </c>
      <c r="G46" s="45" t="s">
        <v>368</v>
      </c>
      <c r="H46" s="45" t="s">
        <v>369</v>
      </c>
      <c r="I46" s="45" t="s">
        <v>370</v>
      </c>
      <c r="J46" s="45"/>
      <c r="K46" s="45"/>
      <c r="L46" s="47" t="s">
        <v>92</v>
      </c>
    </row>
    <row r="47" spans="1:12" ht="42">
      <c r="A47" s="45" t="s">
        <v>371</v>
      </c>
      <c r="B47" s="45" t="s">
        <v>10</v>
      </c>
      <c r="C47" s="45" t="s">
        <v>209</v>
      </c>
      <c r="D47" s="45" t="s">
        <v>372</v>
      </c>
      <c r="E47" s="45" t="s">
        <v>373</v>
      </c>
      <c r="F47" s="46" t="s">
        <v>156</v>
      </c>
      <c r="G47" s="45" t="s">
        <v>374</v>
      </c>
      <c r="H47" s="45" t="s">
        <v>375</v>
      </c>
      <c r="I47" s="45" t="s">
        <v>376</v>
      </c>
      <c r="J47" s="45"/>
      <c r="K47" s="45"/>
      <c r="L47" s="49" t="s">
        <v>227</v>
      </c>
    </row>
    <row r="48" spans="1:12" ht="42">
      <c r="A48" s="45" t="s">
        <v>377</v>
      </c>
      <c r="B48" s="45" t="s">
        <v>10</v>
      </c>
      <c r="C48" s="45" t="s">
        <v>209</v>
      </c>
      <c r="D48" s="45" t="s">
        <v>378</v>
      </c>
      <c r="E48" s="45" t="s">
        <v>379</v>
      </c>
      <c r="F48" s="46" t="s">
        <v>380</v>
      </c>
      <c r="G48" s="45" t="s">
        <v>381</v>
      </c>
      <c r="H48" s="45" t="s">
        <v>382</v>
      </c>
      <c r="I48" s="45" t="s">
        <v>383</v>
      </c>
      <c r="J48" s="45"/>
      <c r="K48" s="45"/>
      <c r="L48" s="47" t="s">
        <v>92</v>
      </c>
    </row>
    <row r="49" spans="1:28" ht="42">
      <c r="A49" s="45" t="s">
        <v>384</v>
      </c>
      <c r="B49" s="45" t="s">
        <v>10</v>
      </c>
      <c r="C49" s="45" t="s">
        <v>81</v>
      </c>
      <c r="D49" s="45" t="s">
        <v>13</v>
      </c>
      <c r="E49" s="45" t="s">
        <v>385</v>
      </c>
      <c r="F49" s="46" t="s">
        <v>386</v>
      </c>
      <c r="G49" s="45" t="s">
        <v>269</v>
      </c>
      <c r="H49" s="45" t="s">
        <v>387</v>
      </c>
      <c r="I49" s="45" t="s">
        <v>388</v>
      </c>
      <c r="J49" s="45"/>
      <c r="K49" s="45"/>
      <c r="L49" s="47" t="s">
        <v>92</v>
      </c>
    </row>
    <row r="50" spans="1:28" ht="42">
      <c r="A50" s="45" t="s">
        <v>389</v>
      </c>
      <c r="B50" s="45" t="s">
        <v>10</v>
      </c>
      <c r="C50" s="45" t="s">
        <v>209</v>
      </c>
      <c r="D50" s="45" t="s">
        <v>390</v>
      </c>
      <c r="E50" s="45" t="s">
        <v>391</v>
      </c>
      <c r="F50" s="46" t="s">
        <v>392</v>
      </c>
      <c r="G50" s="45" t="s">
        <v>393</v>
      </c>
      <c r="H50" s="45" t="s">
        <v>394</v>
      </c>
      <c r="I50" s="45" t="s">
        <v>395</v>
      </c>
      <c r="J50" s="45"/>
      <c r="K50" s="45"/>
      <c r="L50" s="47" t="s">
        <v>92</v>
      </c>
    </row>
    <row r="51" spans="1:28" ht="28">
      <c r="A51" s="45" t="s">
        <v>396</v>
      </c>
      <c r="B51" s="45" t="s">
        <v>10</v>
      </c>
      <c r="C51" s="45" t="s">
        <v>81</v>
      </c>
      <c r="D51" s="45" t="s">
        <v>397</v>
      </c>
      <c r="E51" s="45" t="s">
        <v>398</v>
      </c>
      <c r="F51" s="46" t="s">
        <v>399</v>
      </c>
      <c r="G51" s="45" t="s">
        <v>400</v>
      </c>
      <c r="H51" s="45" t="s">
        <v>401</v>
      </c>
      <c r="I51" s="45" t="s">
        <v>402</v>
      </c>
      <c r="J51" s="45"/>
      <c r="K51" s="45"/>
      <c r="L51" s="47" t="s">
        <v>92</v>
      </c>
    </row>
    <row r="52" spans="1:28" ht="28">
      <c r="A52" s="45" t="s">
        <v>403</v>
      </c>
      <c r="B52" s="45" t="s">
        <v>10</v>
      </c>
      <c r="C52" s="45" t="s">
        <v>81</v>
      </c>
      <c r="D52" s="45" t="s">
        <v>404</v>
      </c>
      <c r="E52" s="45" t="s">
        <v>405</v>
      </c>
      <c r="F52" s="46" t="s">
        <v>406</v>
      </c>
      <c r="G52" s="45" t="s">
        <v>400</v>
      </c>
      <c r="H52" s="45" t="s">
        <v>407</v>
      </c>
      <c r="I52" s="45" t="s">
        <v>408</v>
      </c>
      <c r="J52" s="45"/>
      <c r="K52" s="45"/>
      <c r="L52" s="47" t="s">
        <v>92</v>
      </c>
    </row>
    <row r="53" spans="1:28" ht="42">
      <c r="A53" s="45" t="s">
        <v>409</v>
      </c>
      <c r="B53" s="45" t="s">
        <v>10</v>
      </c>
      <c r="C53" s="45" t="s">
        <v>81</v>
      </c>
      <c r="D53" s="45" t="s">
        <v>410</v>
      </c>
      <c r="E53" s="45" t="s">
        <v>411</v>
      </c>
      <c r="F53" s="46" t="s">
        <v>412</v>
      </c>
      <c r="G53" s="45" t="s">
        <v>413</v>
      </c>
      <c r="H53" s="45" t="s">
        <v>414</v>
      </c>
      <c r="I53" s="45" t="s">
        <v>415</v>
      </c>
      <c r="J53" s="45"/>
      <c r="K53" s="45"/>
      <c r="L53" s="47" t="s">
        <v>92</v>
      </c>
    </row>
    <row r="54" spans="1:28" ht="42">
      <c r="A54" s="45" t="s">
        <v>416</v>
      </c>
      <c r="B54" s="45" t="s">
        <v>10</v>
      </c>
      <c r="C54" s="45" t="s">
        <v>209</v>
      </c>
      <c r="D54" s="45" t="s">
        <v>417</v>
      </c>
      <c r="E54" s="45" t="s">
        <v>418</v>
      </c>
      <c r="F54" s="46" t="s">
        <v>419</v>
      </c>
      <c r="G54" s="45" t="s">
        <v>420</v>
      </c>
      <c r="H54" s="45" t="s">
        <v>421</v>
      </c>
      <c r="I54" s="45" t="s">
        <v>422</v>
      </c>
      <c r="J54" s="45"/>
      <c r="K54" s="45"/>
      <c r="L54" s="47" t="s">
        <v>92</v>
      </c>
    </row>
    <row r="55" spans="1:28" ht="42">
      <c r="A55" s="45" t="s">
        <v>423</v>
      </c>
      <c r="B55" s="45" t="s">
        <v>10</v>
      </c>
      <c r="C55" s="45" t="s">
        <v>81</v>
      </c>
      <c r="D55" s="45" t="s">
        <v>424</v>
      </c>
      <c r="E55" s="45" t="s">
        <v>425</v>
      </c>
      <c r="F55" s="46" t="s">
        <v>426</v>
      </c>
      <c r="G55" s="45" t="s">
        <v>427</v>
      </c>
      <c r="H55" s="45" t="s">
        <v>428</v>
      </c>
      <c r="I55" s="45" t="s">
        <v>429</v>
      </c>
      <c r="J55" s="45"/>
      <c r="K55" s="45"/>
      <c r="L55" s="50" t="s">
        <v>92</v>
      </c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 spans="1:28" ht="42">
      <c r="A56" s="45" t="s">
        <v>430</v>
      </c>
      <c r="B56" s="45" t="s">
        <v>10</v>
      </c>
      <c r="C56" s="45" t="s">
        <v>209</v>
      </c>
      <c r="D56" s="45" t="s">
        <v>431</v>
      </c>
      <c r="E56" s="45" t="s">
        <v>432</v>
      </c>
      <c r="F56" s="46" t="s">
        <v>433</v>
      </c>
      <c r="G56" s="45" t="s">
        <v>434</v>
      </c>
      <c r="H56" s="45" t="s">
        <v>435</v>
      </c>
      <c r="I56" s="45" t="s">
        <v>436</v>
      </c>
      <c r="J56" s="45"/>
      <c r="K56" s="45"/>
      <c r="L56" s="50" t="s">
        <v>92</v>
      </c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 spans="1:28" ht="42">
      <c r="A57" s="45" t="s">
        <v>437</v>
      </c>
      <c r="B57" s="45" t="s">
        <v>10</v>
      </c>
      <c r="C57" s="45" t="s">
        <v>81</v>
      </c>
      <c r="D57" s="45" t="s">
        <v>438</v>
      </c>
      <c r="E57" s="45" t="s">
        <v>439</v>
      </c>
      <c r="F57" s="46" t="s">
        <v>440</v>
      </c>
      <c r="G57" s="45" t="s">
        <v>441</v>
      </c>
      <c r="H57" s="45" t="s">
        <v>442</v>
      </c>
      <c r="I57" s="45" t="s">
        <v>443</v>
      </c>
      <c r="J57" s="45"/>
      <c r="K57" s="45"/>
      <c r="L57" s="50" t="s">
        <v>92</v>
      </c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 spans="1:28" ht="42">
      <c r="A58" s="45" t="s">
        <v>444</v>
      </c>
      <c r="B58" s="45" t="s">
        <v>10</v>
      </c>
      <c r="C58" s="45" t="s">
        <v>209</v>
      </c>
      <c r="D58" s="45" t="s">
        <v>445</v>
      </c>
      <c r="E58" s="45" t="s">
        <v>446</v>
      </c>
      <c r="F58" s="46" t="s">
        <v>447</v>
      </c>
      <c r="G58" s="45" t="s">
        <v>448</v>
      </c>
      <c r="H58" s="45" t="s">
        <v>449</v>
      </c>
      <c r="I58" s="45" t="s">
        <v>450</v>
      </c>
      <c r="J58" s="45"/>
      <c r="K58" s="45"/>
      <c r="L58" s="50" t="s">
        <v>92</v>
      </c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 spans="1:28" ht="42">
      <c r="A59" s="45" t="s">
        <v>451</v>
      </c>
      <c r="B59" s="45" t="s">
        <v>10</v>
      </c>
      <c r="C59" s="45" t="s">
        <v>81</v>
      </c>
      <c r="D59" s="45" t="s">
        <v>452</v>
      </c>
      <c r="E59" s="45" t="s">
        <v>453</v>
      </c>
      <c r="F59" s="46" t="s">
        <v>454</v>
      </c>
      <c r="G59" s="45" t="s">
        <v>400</v>
      </c>
      <c r="H59" s="45" t="s">
        <v>455</v>
      </c>
      <c r="I59" s="45" t="s">
        <v>456</v>
      </c>
      <c r="J59" s="45"/>
      <c r="K59" s="45"/>
      <c r="L59" s="50" t="s">
        <v>92</v>
      </c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 spans="1:28" ht="28">
      <c r="A60" s="45" t="s">
        <v>457</v>
      </c>
      <c r="B60" s="45" t="s">
        <v>10</v>
      </c>
      <c r="C60" s="45" t="s">
        <v>81</v>
      </c>
      <c r="D60" s="45" t="s">
        <v>458</v>
      </c>
      <c r="E60" s="45" t="s">
        <v>459</v>
      </c>
      <c r="F60" s="46" t="s">
        <v>460</v>
      </c>
      <c r="G60" s="45" t="s">
        <v>400</v>
      </c>
      <c r="H60" s="45" t="s">
        <v>461</v>
      </c>
      <c r="I60" s="45" t="s">
        <v>462</v>
      </c>
      <c r="J60" s="45"/>
      <c r="K60" s="45"/>
      <c r="L60" s="50" t="s">
        <v>92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 spans="1:28" ht="28">
      <c r="A61" s="45" t="s">
        <v>463</v>
      </c>
      <c r="B61" s="45" t="s">
        <v>10</v>
      </c>
      <c r="C61" s="45" t="s">
        <v>81</v>
      </c>
      <c r="D61" s="45" t="s">
        <v>464</v>
      </c>
      <c r="E61" s="45" t="s">
        <v>465</v>
      </c>
      <c r="F61" s="46" t="s">
        <v>466</v>
      </c>
      <c r="G61" s="45" t="s">
        <v>400</v>
      </c>
      <c r="H61" s="45" t="s">
        <v>467</v>
      </c>
      <c r="I61" s="45" t="s">
        <v>468</v>
      </c>
      <c r="J61" s="45"/>
      <c r="K61" s="45"/>
      <c r="L61" s="50" t="s">
        <v>92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 spans="1:28" ht="42">
      <c r="A62" s="45" t="s">
        <v>469</v>
      </c>
      <c r="B62" s="45" t="s">
        <v>10</v>
      </c>
      <c r="C62" s="45" t="s">
        <v>209</v>
      </c>
      <c r="D62" s="45" t="s">
        <v>470</v>
      </c>
      <c r="E62" s="45" t="s">
        <v>471</v>
      </c>
      <c r="F62" s="46" t="s">
        <v>472</v>
      </c>
      <c r="G62" s="45" t="s">
        <v>473</v>
      </c>
      <c r="H62" s="45" t="s">
        <v>474</v>
      </c>
      <c r="I62" s="45" t="s">
        <v>475</v>
      </c>
      <c r="J62" s="45"/>
      <c r="K62" s="45"/>
      <c r="L62" s="50" t="s">
        <v>92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 spans="1:28" ht="28">
      <c r="A63" s="45" t="s">
        <v>476</v>
      </c>
      <c r="B63" s="45" t="s">
        <v>28</v>
      </c>
      <c r="C63" s="45" t="s">
        <v>81</v>
      </c>
      <c r="D63" s="45" t="s">
        <v>477</v>
      </c>
      <c r="E63" s="45" t="s">
        <v>478</v>
      </c>
      <c r="F63" s="46" t="s">
        <v>479</v>
      </c>
      <c r="G63" s="45"/>
      <c r="H63" s="45" t="s">
        <v>480</v>
      </c>
      <c r="I63" s="45" t="s">
        <v>481</v>
      </c>
      <c r="J63" s="45"/>
      <c r="K63" s="45"/>
      <c r="L63" s="50" t="s">
        <v>92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 spans="1:28" ht="42">
      <c r="A64" s="45" t="s">
        <v>482</v>
      </c>
      <c r="B64" s="45" t="s">
        <v>28</v>
      </c>
      <c r="C64" s="45" t="s">
        <v>81</v>
      </c>
      <c r="D64" s="45" t="s">
        <v>483</v>
      </c>
      <c r="E64" s="45" t="s">
        <v>484</v>
      </c>
      <c r="F64" s="46" t="s">
        <v>485</v>
      </c>
      <c r="G64" s="45" t="s">
        <v>486</v>
      </c>
      <c r="H64" s="45" t="s">
        <v>487</v>
      </c>
      <c r="I64" s="45" t="s">
        <v>488</v>
      </c>
      <c r="J64" s="45"/>
      <c r="K64" s="45"/>
      <c r="L64" s="50" t="s">
        <v>92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 spans="1:28" ht="42">
      <c r="A65" s="45" t="s">
        <v>489</v>
      </c>
      <c r="B65" s="45" t="s">
        <v>28</v>
      </c>
      <c r="C65" s="45" t="s">
        <v>209</v>
      </c>
      <c r="D65" s="45" t="s">
        <v>490</v>
      </c>
      <c r="E65" s="45" t="s">
        <v>491</v>
      </c>
      <c r="F65" s="46" t="s">
        <v>492</v>
      </c>
      <c r="G65" s="45" t="s">
        <v>276</v>
      </c>
      <c r="H65" s="45" t="s">
        <v>493</v>
      </c>
      <c r="I65" s="45" t="s">
        <v>494</v>
      </c>
      <c r="J65" s="45"/>
      <c r="K65" s="45"/>
      <c r="L65" s="50" t="s">
        <v>92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 spans="1:28" ht="42">
      <c r="A66" s="45" t="s">
        <v>495</v>
      </c>
      <c r="B66" s="45" t="s">
        <v>28</v>
      </c>
      <c r="C66" s="45" t="s">
        <v>209</v>
      </c>
      <c r="D66" s="45" t="s">
        <v>496</v>
      </c>
      <c r="E66" s="45" t="s">
        <v>497</v>
      </c>
      <c r="F66" s="46" t="s">
        <v>498</v>
      </c>
      <c r="G66" s="45" t="s">
        <v>499</v>
      </c>
      <c r="H66" s="45" t="s">
        <v>500</v>
      </c>
      <c r="I66" s="45" t="s">
        <v>501</v>
      </c>
      <c r="J66" s="45"/>
      <c r="K66" s="45"/>
      <c r="L66" s="50" t="s">
        <v>92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 spans="1:28" ht="42">
      <c r="A67" s="45" t="s">
        <v>502</v>
      </c>
      <c r="B67" s="45" t="s">
        <v>503</v>
      </c>
      <c r="C67" s="45" t="s">
        <v>81</v>
      </c>
      <c r="D67" s="45" t="s">
        <v>31</v>
      </c>
      <c r="E67" s="45" t="s">
        <v>504</v>
      </c>
      <c r="F67" s="46" t="s">
        <v>505</v>
      </c>
      <c r="G67" s="45" t="s">
        <v>262</v>
      </c>
      <c r="H67" s="45" t="s">
        <v>506</v>
      </c>
      <c r="I67" s="45" t="s">
        <v>507</v>
      </c>
      <c r="J67" s="45"/>
      <c r="K67" s="45"/>
      <c r="L67" s="50" t="s">
        <v>92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 spans="1:28" ht="42">
      <c r="A68" s="45" t="s">
        <v>508</v>
      </c>
      <c r="B68" s="45" t="s">
        <v>503</v>
      </c>
      <c r="C68" s="45" t="s">
        <v>209</v>
      </c>
      <c r="D68" s="45" t="s">
        <v>509</v>
      </c>
      <c r="E68" s="45" t="s">
        <v>510</v>
      </c>
      <c r="F68" s="46" t="s">
        <v>511</v>
      </c>
      <c r="G68" s="45" t="s">
        <v>499</v>
      </c>
      <c r="H68" s="45" t="s">
        <v>512</v>
      </c>
      <c r="I68" s="45" t="s">
        <v>513</v>
      </c>
      <c r="J68" s="45"/>
      <c r="K68" s="45"/>
      <c r="L68" s="50" t="s">
        <v>92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spans="1:28" ht="56">
      <c r="A69" s="45" t="s">
        <v>514</v>
      </c>
      <c r="B69" s="45" t="s">
        <v>515</v>
      </c>
      <c r="C69" s="45" t="s">
        <v>81</v>
      </c>
      <c r="D69" s="45" t="s">
        <v>516</v>
      </c>
      <c r="E69" s="45" t="s">
        <v>517</v>
      </c>
      <c r="F69" s="46" t="s">
        <v>518</v>
      </c>
      <c r="G69" s="45" t="s">
        <v>224</v>
      </c>
      <c r="H69" s="45" t="s">
        <v>519</v>
      </c>
      <c r="I69" s="45" t="s">
        <v>520</v>
      </c>
      <c r="J69" s="45"/>
      <c r="K69" s="45"/>
      <c r="L69" s="50" t="s">
        <v>92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</sheetData>
  <mergeCells count="7">
    <mergeCell ref="A5:B5"/>
    <mergeCell ref="C5:I5"/>
    <mergeCell ref="A1:B1"/>
    <mergeCell ref="J1:K1"/>
    <mergeCell ref="A2:B2"/>
    <mergeCell ref="A3:B3"/>
    <mergeCell ref="A4:B4"/>
  </mergeCells>
  <dataValidations count="1">
    <dataValidation type="list" allowBlank="1" sqref="L9:L69" xr:uid="{00000000-0002-0000-0300-000000000000}">
      <formula1>"Passed,Failed,Not Executed,Out of Scope"</formula1>
    </dataValidation>
  </dataValidations>
  <hyperlinks>
    <hyperlink ref="C1" r:id="rId1" xr:uid="{00000000-0004-0000-0300-0000000000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D1:D38"/>
  <sheetViews>
    <sheetView workbookViewId="0"/>
  </sheetViews>
  <sheetFormatPr defaultColWidth="12.6328125" defaultRowHeight="15.75" customHeight="1"/>
  <cols>
    <col min="4" max="4" width="81.6328125" customWidth="1"/>
  </cols>
  <sheetData>
    <row r="1" spans="4:4" ht="15.75" customHeight="1">
      <c r="D1" s="58" t="s">
        <v>58</v>
      </c>
    </row>
    <row r="2" spans="4:4" ht="15.75" customHeight="1">
      <c r="D2" s="59"/>
    </row>
    <row r="3" spans="4:4" ht="15.75" customHeight="1">
      <c r="D3" s="59"/>
    </row>
    <row r="4" spans="4:4" ht="15.75" customHeight="1">
      <c r="D4" s="60"/>
    </row>
    <row r="5" spans="4:4" ht="15.75" customHeight="1">
      <c r="D5" s="61" t="s">
        <v>60</v>
      </c>
    </row>
    <row r="6" spans="4:4" ht="15.75" customHeight="1">
      <c r="D6" s="57"/>
    </row>
    <row r="7" spans="4:4" ht="15.75" customHeight="1">
      <c r="D7" s="56" t="s">
        <v>62</v>
      </c>
    </row>
    <row r="8" spans="4:4" ht="15.75" customHeight="1">
      <c r="D8" s="57"/>
    </row>
    <row r="9" spans="4:4" ht="15.75" customHeight="1">
      <c r="D9" s="6" t="s">
        <v>63</v>
      </c>
    </row>
    <row r="10" spans="4:4" ht="15.75" customHeight="1">
      <c r="D10" s="7" t="s">
        <v>71</v>
      </c>
    </row>
    <row r="11" spans="4:4" ht="15.75" customHeight="1">
      <c r="D11" s="6" t="s">
        <v>77</v>
      </c>
    </row>
    <row r="12" spans="4:4" ht="15.75" customHeight="1">
      <c r="D12" s="6" t="s">
        <v>80</v>
      </c>
    </row>
    <row r="13" spans="4:4" ht="15.75" customHeight="1">
      <c r="D13" s="6" t="s">
        <v>84</v>
      </c>
    </row>
    <row r="14" spans="4:4" ht="15.75" customHeight="1">
      <c r="D14" s="6" t="s">
        <v>88</v>
      </c>
    </row>
    <row r="15" spans="4:4" ht="15.75" customHeight="1">
      <c r="D15" s="11" t="s">
        <v>91</v>
      </c>
    </row>
    <row r="16" spans="4:4" ht="15.75" customHeight="1">
      <c r="D16" s="13" t="s">
        <v>94</v>
      </c>
    </row>
    <row r="17" spans="4:4" ht="15.75" customHeight="1">
      <c r="D17" s="15" t="s">
        <v>102</v>
      </c>
    </row>
    <row r="18" spans="4:4" ht="15.75" customHeight="1">
      <c r="D18" s="17" t="s">
        <v>106</v>
      </c>
    </row>
    <row r="21" spans="4:4" ht="12.5">
      <c r="D21" s="58" t="s">
        <v>58</v>
      </c>
    </row>
    <row r="22" spans="4:4" ht="12.5">
      <c r="D22" s="59"/>
    </row>
    <row r="23" spans="4:4" ht="12.5">
      <c r="D23" s="59"/>
    </row>
    <row r="24" spans="4:4" ht="12.5">
      <c r="D24" s="60"/>
    </row>
    <row r="25" spans="4:4" ht="12.5">
      <c r="D25" s="61" t="s">
        <v>129</v>
      </c>
    </row>
    <row r="26" spans="4:4" ht="12.5">
      <c r="D26" s="57"/>
    </row>
    <row r="27" spans="4:4" ht="12.5">
      <c r="D27" s="56" t="s">
        <v>145</v>
      </c>
    </row>
    <row r="28" spans="4:4" ht="12.5">
      <c r="D28" s="57"/>
    </row>
    <row r="29" spans="4:4" ht="14.5">
      <c r="D29" s="6" t="s">
        <v>63</v>
      </c>
    </row>
    <row r="30" spans="4:4" ht="29">
      <c r="D30" s="7" t="s">
        <v>156</v>
      </c>
    </row>
    <row r="31" spans="4:4" ht="14.5">
      <c r="D31" s="6" t="s">
        <v>159</v>
      </c>
    </row>
    <row r="32" spans="4:4" ht="14.5">
      <c r="D32" s="6" t="s">
        <v>164</v>
      </c>
    </row>
    <row r="33" spans="4:4" ht="14.5">
      <c r="D33" s="6" t="s">
        <v>166</v>
      </c>
    </row>
    <row r="34" spans="4:4" ht="14.5">
      <c r="D34" s="6" t="s">
        <v>169</v>
      </c>
    </row>
    <row r="35" spans="4:4" ht="14.5">
      <c r="D35" s="11" t="s">
        <v>91</v>
      </c>
    </row>
    <row r="36" spans="4:4" ht="14.5">
      <c r="D36" s="13" t="s">
        <v>173</v>
      </c>
    </row>
    <row r="37" spans="4:4" ht="14.5">
      <c r="D37" s="15" t="s">
        <v>176</v>
      </c>
    </row>
    <row r="38" spans="4:4" ht="14.5">
      <c r="D38" s="17" t="s">
        <v>106</v>
      </c>
    </row>
  </sheetData>
  <mergeCells count="6">
    <mergeCell ref="D27:D28"/>
    <mergeCell ref="D1:D4"/>
    <mergeCell ref="D5:D6"/>
    <mergeCell ref="D7:D8"/>
    <mergeCell ref="D21:D24"/>
    <mergeCell ref="D25: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C2:G12"/>
  <sheetViews>
    <sheetView workbookViewId="0"/>
  </sheetViews>
  <sheetFormatPr defaultColWidth="12.6328125" defaultRowHeight="15.75" customHeight="1"/>
  <cols>
    <col min="7" max="7" width="31.26953125" customWidth="1"/>
  </cols>
  <sheetData>
    <row r="2" spans="3:7" ht="15.75" customHeight="1">
      <c r="C2" s="69" t="s">
        <v>75</v>
      </c>
      <c r="D2" s="63"/>
      <c r="E2" s="63"/>
      <c r="F2" s="63"/>
      <c r="G2" s="70"/>
    </row>
    <row r="3" spans="3:7" ht="15.75" customHeight="1">
      <c r="C3" s="16" t="s">
        <v>103</v>
      </c>
      <c r="D3" s="71" t="s">
        <v>5</v>
      </c>
      <c r="E3" s="72"/>
      <c r="F3" s="72"/>
      <c r="G3" s="73"/>
    </row>
    <row r="4" spans="3:7" ht="15.75" customHeight="1">
      <c r="C4" s="16" t="s">
        <v>152</v>
      </c>
      <c r="D4" s="74" t="s">
        <v>47</v>
      </c>
      <c r="E4" s="72"/>
      <c r="F4" s="72"/>
      <c r="G4" s="73"/>
    </row>
    <row r="5" spans="3:7" ht="15.75" customHeight="1">
      <c r="C5" s="16" t="s">
        <v>167</v>
      </c>
      <c r="D5" s="74" t="s">
        <v>53</v>
      </c>
      <c r="E5" s="72"/>
      <c r="F5" s="72"/>
      <c r="G5" s="73"/>
    </row>
    <row r="6" spans="3:7" ht="15.75" customHeight="1">
      <c r="C6" s="75" t="s">
        <v>177</v>
      </c>
      <c r="D6" s="76"/>
      <c r="E6" s="76"/>
      <c r="F6" s="76"/>
      <c r="G6" s="77"/>
    </row>
    <row r="7" spans="3:7" ht="15.75" customHeight="1">
      <c r="C7" s="78"/>
      <c r="D7" s="79"/>
      <c r="E7" s="79"/>
      <c r="F7" s="79"/>
      <c r="G7" s="80"/>
    </row>
    <row r="8" spans="3:7" ht="13.5">
      <c r="C8" s="19" t="s">
        <v>44</v>
      </c>
      <c r="D8" s="62">
        <f>'Biman Bangladesh Airlines Test '!K2</f>
        <v>59</v>
      </c>
      <c r="E8" s="63"/>
      <c r="F8" s="63"/>
      <c r="G8" s="64"/>
    </row>
    <row r="9" spans="3:7" ht="13.5">
      <c r="C9" s="20" t="s">
        <v>50</v>
      </c>
      <c r="D9" s="62">
        <f>'Biman Bangladesh Airlines Test '!K3</f>
        <v>2</v>
      </c>
      <c r="E9" s="63"/>
      <c r="F9" s="63"/>
      <c r="G9" s="64"/>
    </row>
    <row r="10" spans="3:7" ht="13.5">
      <c r="C10" s="21" t="s">
        <v>56</v>
      </c>
      <c r="D10" s="62">
        <f>COUNTIF(C13:C39, "Not Executed")</f>
        <v>0</v>
      </c>
      <c r="E10" s="63"/>
      <c r="F10" s="63"/>
      <c r="G10" s="64"/>
    </row>
    <row r="11" spans="3:7" ht="13.5">
      <c r="C11" s="22" t="s">
        <v>59</v>
      </c>
      <c r="D11" s="65">
        <f>COUNTIF(C13:C39, "Out of Scope")</f>
        <v>0</v>
      </c>
      <c r="E11" s="63"/>
      <c r="F11" s="63"/>
      <c r="G11" s="64"/>
    </row>
    <row r="12" spans="3:7" ht="13.5">
      <c r="C12" s="23" t="s">
        <v>61</v>
      </c>
      <c r="D12" s="66">
        <f>'Biman Bangladesh Airlines Test '!K6</f>
        <v>61</v>
      </c>
      <c r="E12" s="67"/>
      <c r="F12" s="67"/>
      <c r="G12" s="68"/>
    </row>
  </sheetData>
  <mergeCells count="10">
    <mergeCell ref="D10:G10"/>
    <mergeCell ref="D11:G11"/>
    <mergeCell ref="D12:G12"/>
    <mergeCell ref="C2:G2"/>
    <mergeCell ref="D3:G3"/>
    <mergeCell ref="D4:G4"/>
    <mergeCell ref="D5:G5"/>
    <mergeCell ref="C6:G7"/>
    <mergeCell ref="D8:G8"/>
    <mergeCell ref="D9:G9"/>
  </mergeCells>
  <hyperlinks>
    <hyperlink ref="D3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3"/>
  <sheetViews>
    <sheetView workbookViewId="0"/>
  </sheetViews>
  <sheetFormatPr defaultColWidth="12.6328125" defaultRowHeight="15.75" customHeight="1"/>
  <cols>
    <col min="2" max="2" width="35.453125" customWidth="1"/>
    <col min="3" max="3" width="59.26953125" customWidth="1"/>
    <col min="4" max="4" width="22.7265625" customWidth="1"/>
  </cols>
  <sheetData>
    <row r="1" spans="1:4" ht="15.75" customHeight="1">
      <c r="A1" s="8" t="s">
        <v>76</v>
      </c>
      <c r="B1" s="9" t="s">
        <v>79</v>
      </c>
      <c r="C1" s="9" t="s">
        <v>86</v>
      </c>
      <c r="D1" s="9" t="s">
        <v>89</v>
      </c>
    </row>
    <row r="2" spans="1:4" ht="15.75" customHeight="1">
      <c r="A2" s="10">
        <v>1</v>
      </c>
      <c r="B2" s="12" t="s">
        <v>93</v>
      </c>
      <c r="C2" s="14" t="s">
        <v>98</v>
      </c>
      <c r="D2" s="10" t="s">
        <v>104</v>
      </c>
    </row>
    <row r="3" spans="1:4" ht="15.75" customHeight="1">
      <c r="A3" s="10">
        <v>2</v>
      </c>
      <c r="B3" s="12" t="s">
        <v>112</v>
      </c>
      <c r="C3" s="14" t="s">
        <v>113</v>
      </c>
      <c r="D3" s="10" t="s">
        <v>114</v>
      </c>
    </row>
    <row r="4" spans="1:4" ht="15.75" customHeight="1">
      <c r="A4" s="10">
        <v>3</v>
      </c>
      <c r="B4" s="12" t="s">
        <v>116</v>
      </c>
      <c r="C4" s="14" t="s">
        <v>118</v>
      </c>
      <c r="D4" s="10" t="s">
        <v>120</v>
      </c>
    </row>
    <row r="5" spans="1:4" ht="15.75" customHeight="1">
      <c r="A5" s="10">
        <v>4</v>
      </c>
      <c r="B5" s="12" t="s">
        <v>124</v>
      </c>
      <c r="C5" s="14" t="s">
        <v>125</v>
      </c>
      <c r="D5" s="10" t="s">
        <v>126</v>
      </c>
    </row>
    <row r="6" spans="1:4" ht="15.75" customHeight="1">
      <c r="A6" s="10">
        <v>5</v>
      </c>
      <c r="B6" s="12" t="s">
        <v>128</v>
      </c>
      <c r="C6" s="14" t="s">
        <v>130</v>
      </c>
      <c r="D6" s="10" t="s">
        <v>114</v>
      </c>
    </row>
    <row r="7" spans="1:4" ht="15.75" customHeight="1">
      <c r="A7" s="10">
        <v>6</v>
      </c>
      <c r="B7" s="12" t="s">
        <v>136</v>
      </c>
      <c r="C7" s="14" t="s">
        <v>137</v>
      </c>
      <c r="D7" s="10" t="s">
        <v>138</v>
      </c>
    </row>
    <row r="8" spans="1:4" ht="15.75" customHeight="1">
      <c r="A8" s="10">
        <v>7</v>
      </c>
      <c r="B8" s="12" t="s">
        <v>140</v>
      </c>
      <c r="C8" s="14" t="s">
        <v>141</v>
      </c>
      <c r="D8" s="10" t="s">
        <v>138</v>
      </c>
    </row>
    <row r="9" spans="1:4" ht="15.75" customHeight="1">
      <c r="A9" s="10">
        <v>8</v>
      </c>
      <c r="B9" s="12" t="s">
        <v>147</v>
      </c>
      <c r="C9" s="14" t="s">
        <v>149</v>
      </c>
      <c r="D9" s="10" t="s">
        <v>138</v>
      </c>
    </row>
    <row r="10" spans="1:4" ht="15.75" customHeight="1">
      <c r="A10" s="10">
        <v>9</v>
      </c>
      <c r="B10" s="12" t="s">
        <v>150</v>
      </c>
      <c r="C10" s="14" t="s">
        <v>151</v>
      </c>
      <c r="D10" s="10" t="s">
        <v>138</v>
      </c>
    </row>
    <row r="11" spans="1:4" ht="15.75" customHeight="1">
      <c r="A11" s="10">
        <v>10</v>
      </c>
      <c r="B11" s="12" t="s">
        <v>154</v>
      </c>
      <c r="C11" s="14" t="s">
        <v>155</v>
      </c>
      <c r="D11" s="10" t="s">
        <v>138</v>
      </c>
    </row>
    <row r="12" spans="1:4" ht="15.75" customHeight="1">
      <c r="A12" s="10">
        <v>11</v>
      </c>
      <c r="B12" s="12" t="s">
        <v>161</v>
      </c>
      <c r="C12" s="14" t="s">
        <v>163</v>
      </c>
      <c r="D12" s="10" t="s">
        <v>138</v>
      </c>
    </row>
    <row r="13" spans="1:4" ht="15.75" customHeight="1">
      <c r="A13" s="18"/>
      <c r="B13" s="18"/>
      <c r="C13" s="18"/>
      <c r="D1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Plan</vt:lpstr>
      <vt:lpstr>Mind Map</vt:lpstr>
      <vt:lpstr>Test Scenarios</vt:lpstr>
      <vt:lpstr>Biman Bangladesh Airlines Test </vt:lpstr>
      <vt:lpstr>Bug Report</vt:lpstr>
      <vt:lpstr>Test Case Summery Report</vt:lpstr>
      <vt:lpstr>Test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meem mahmuda</cp:lastModifiedBy>
  <dcterms:modified xsi:type="dcterms:W3CDTF">2026-09-14T18:04:05Z</dcterms:modified>
</cp:coreProperties>
</file>